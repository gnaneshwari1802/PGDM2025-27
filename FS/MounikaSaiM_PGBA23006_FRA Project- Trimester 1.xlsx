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6E31B476-55BA-40FD-9BA4-439225FF2DA5}" xr6:coauthVersionLast="47" xr6:coauthVersionMax="47" xr10:uidLastSave="{00000000-0000-0000-0000-000000000000}"/>
  <bookViews>
    <workbookView xWindow="-108" yWindow="-108" windowWidth="23256" windowHeight="12576" tabRatio="867" activeTab="1" xr2:uid="{00000000-000D-0000-FFFF-FFFF00000000}"/>
  </bookViews>
  <sheets>
    <sheet name="Student Details" sheetId="5" r:id="rId1"/>
    <sheet name="Balance Sheet" sheetId="1" r:id="rId2"/>
    <sheet name="Statement of P &amp; L" sheetId="2" r:id="rId3"/>
    <sheet name="Statement of CFS" sheetId="3" r:id="rId4"/>
    <sheet name="Analysis of CFS" sheetId="7" r:id="rId5"/>
    <sheet name="Vertical Analysis of BS" sheetId="9" r:id="rId6"/>
    <sheet name="Vertical Analysis of P&amp;L" sheetId="10" r:id="rId7"/>
    <sheet name="Horizontal Analysis of BS" sheetId="11" r:id="rId8"/>
    <sheet name="Horizontal Analysis of P&amp;L" sheetId="12" r:id="rId9"/>
    <sheet name="Ratio Analysi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3" l="1"/>
  <c r="W28" i="13"/>
  <c r="X28" i="13"/>
  <c r="Y28" i="13"/>
  <c r="U28" i="13"/>
  <c r="V26" i="13"/>
  <c r="W26" i="13"/>
  <c r="X26" i="13"/>
  <c r="Y26" i="13"/>
  <c r="U26" i="13"/>
  <c r="V24" i="13"/>
  <c r="W24" i="13"/>
  <c r="X24" i="13"/>
  <c r="Y24" i="13"/>
  <c r="U24" i="13"/>
  <c r="V23" i="13"/>
  <c r="W23" i="13"/>
  <c r="X23" i="13"/>
  <c r="Y23" i="13"/>
  <c r="U23" i="13"/>
  <c r="V20" i="13"/>
  <c r="W20" i="13"/>
  <c r="X20" i="13"/>
  <c r="Y20" i="13"/>
  <c r="U20" i="13"/>
  <c r="V17" i="13" a="1"/>
  <c r="V17" i="13" s="1"/>
  <c r="W17" i="13" a="1"/>
  <c r="W17" i="13" s="1"/>
  <c r="X17" i="13" a="1"/>
  <c r="X17" i="13" s="1"/>
  <c r="Y17" i="13" a="1"/>
  <c r="Y17" i="13" s="1"/>
  <c r="U17" i="13" a="1"/>
  <c r="U17" i="13" s="1"/>
  <c r="V16" i="13"/>
  <c r="W16" i="13"/>
  <c r="X16" i="13"/>
  <c r="Y16" i="13"/>
  <c r="U16" i="13"/>
  <c r="V13" i="13" a="1"/>
  <c r="V13" i="13" s="1"/>
  <c r="W13" i="13" a="1"/>
  <c r="W13" i="13" s="1"/>
  <c r="X13" i="13" a="1"/>
  <c r="X13" i="13" s="1"/>
  <c r="Y13" i="13" a="1"/>
  <c r="Y13" i="13" s="1"/>
  <c r="V11" i="13"/>
  <c r="W11" i="13"/>
  <c r="X11" i="13"/>
  <c r="Y11" i="13"/>
  <c r="V10" i="13"/>
  <c r="W10" i="13"/>
  <c r="X10" i="13"/>
  <c r="Y10" i="13"/>
  <c r="U13" i="13" a="1"/>
  <c r="U13" i="13" s="1"/>
  <c r="U11" i="13"/>
  <c r="U10" i="13"/>
  <c r="V8" i="13"/>
  <c r="W8" i="13"/>
  <c r="X8" i="13"/>
  <c r="Y8" i="13"/>
  <c r="U8" i="13"/>
  <c r="V7" i="13"/>
  <c r="W7" i="13"/>
  <c r="X7" i="13"/>
  <c r="Y7" i="13"/>
  <c r="U7" i="13"/>
  <c r="V5" i="13"/>
  <c r="W5" i="13"/>
  <c r="X5" i="13"/>
  <c r="Y5" i="13"/>
  <c r="U5" i="13"/>
  <c r="L41" i="13"/>
  <c r="M41" i="13"/>
  <c r="N41" i="13"/>
  <c r="O41" i="13"/>
  <c r="K41" i="13"/>
  <c r="L40" i="13"/>
  <c r="M40" i="13"/>
  <c r="N40" i="13"/>
  <c r="O40" i="13"/>
  <c r="K40" i="13"/>
  <c r="L36" i="13"/>
  <c r="M36" i="13"/>
  <c r="N36" i="13"/>
  <c r="O36" i="13"/>
  <c r="K36" i="13"/>
  <c r="L35" i="13"/>
  <c r="M35" i="13"/>
  <c r="N35" i="13"/>
  <c r="O35" i="13"/>
  <c r="K35" i="13"/>
  <c r="L34" i="13"/>
  <c r="M34" i="13"/>
  <c r="N34" i="13"/>
  <c r="O34" i="13"/>
  <c r="K34" i="13"/>
  <c r="L33" i="13"/>
  <c r="M33" i="13"/>
  <c r="N33" i="13"/>
  <c r="O33" i="13"/>
  <c r="K33" i="13"/>
  <c r="L32" i="13"/>
  <c r="M32" i="13"/>
  <c r="N32" i="13"/>
  <c r="O32" i="13"/>
  <c r="K32" i="13"/>
  <c r="K28" i="13"/>
  <c r="L28" i="13"/>
  <c r="M28" i="13"/>
  <c r="N28" i="13"/>
  <c r="O28" i="13"/>
  <c r="L27" i="13"/>
  <c r="M27" i="13"/>
  <c r="N27" i="13"/>
  <c r="O27" i="13"/>
  <c r="G61" i="13"/>
  <c r="G77" i="13" s="1"/>
  <c r="F61" i="13"/>
  <c r="K27" i="13"/>
  <c r="L22" i="13"/>
  <c r="M22" i="13"/>
  <c r="N22" i="13"/>
  <c r="O22" i="13"/>
  <c r="K22" i="13"/>
  <c r="L21" i="13"/>
  <c r="M21" i="13"/>
  <c r="N21" i="13"/>
  <c r="O21" i="13"/>
  <c r="K21" i="13"/>
  <c r="L18" i="13"/>
  <c r="M18" i="13"/>
  <c r="N18" i="13"/>
  <c r="O18" i="13"/>
  <c r="K18" i="13"/>
  <c r="L17" i="13"/>
  <c r="M17" i="13"/>
  <c r="N17" i="13"/>
  <c r="O17" i="13"/>
  <c r="K17" i="13"/>
  <c r="L16" i="13"/>
  <c r="M16" i="13"/>
  <c r="N16" i="13"/>
  <c r="O16" i="13"/>
  <c r="K16" i="13"/>
  <c r="L14" i="13"/>
  <c r="M14" i="13"/>
  <c r="N14" i="13"/>
  <c r="O14" i="13"/>
  <c r="K14" i="13"/>
  <c r="L11" i="13"/>
  <c r="M11" i="13"/>
  <c r="N11" i="13"/>
  <c r="O11" i="13"/>
  <c r="K11" i="13"/>
  <c r="L10" i="13"/>
  <c r="M10" i="13"/>
  <c r="N10" i="13"/>
  <c r="O10" i="13"/>
  <c r="K10" i="13"/>
  <c r="L9" i="13"/>
  <c r="M9" i="13"/>
  <c r="N9" i="13"/>
  <c r="O9" i="13"/>
  <c r="K9" i="13"/>
  <c r="L8" i="13"/>
  <c r="M8" i="13"/>
  <c r="N8" i="13"/>
  <c r="O8" i="13"/>
  <c r="K8" i="13"/>
  <c r="L7" i="13"/>
  <c r="M7" i="13"/>
  <c r="N7" i="13"/>
  <c r="O7" i="13"/>
  <c r="K7" i="13"/>
  <c r="L6" i="13"/>
  <c r="M6" i="13"/>
  <c r="N6" i="13"/>
  <c r="O6" i="13"/>
  <c r="K100" i="13"/>
  <c r="L100" i="13"/>
  <c r="M100" i="13"/>
  <c r="N100" i="13"/>
  <c r="J100" i="13"/>
  <c r="K98" i="13"/>
  <c r="L98" i="13"/>
  <c r="M98" i="13"/>
  <c r="N98" i="13"/>
  <c r="J98" i="13"/>
  <c r="K97" i="13"/>
  <c r="L97" i="13"/>
  <c r="M97" i="13"/>
  <c r="N97" i="13"/>
  <c r="J97" i="13"/>
  <c r="K96" i="13"/>
  <c r="L96" i="13"/>
  <c r="M96" i="13"/>
  <c r="N96" i="13"/>
  <c r="J96" i="13"/>
  <c r="N89" i="13"/>
  <c r="N90" i="13"/>
  <c r="N91" i="13"/>
  <c r="N93" i="13" s="1"/>
  <c r="K95" i="13"/>
  <c r="L95" i="13"/>
  <c r="M95" i="13"/>
  <c r="N95" i="13"/>
  <c r="J95" i="13"/>
  <c r="N94" i="13"/>
  <c r="K94" i="13"/>
  <c r="L94" i="13"/>
  <c r="M94" i="13"/>
  <c r="J94" i="13"/>
  <c r="K93" i="13"/>
  <c r="L93" i="13"/>
  <c r="M93" i="13"/>
  <c r="J93" i="13"/>
  <c r="K91" i="13"/>
  <c r="L91" i="13"/>
  <c r="M91" i="13"/>
  <c r="J91" i="13"/>
  <c r="K90" i="13"/>
  <c r="L90" i="13"/>
  <c r="M90" i="13"/>
  <c r="J90" i="13"/>
  <c r="K89" i="13"/>
  <c r="L89" i="13"/>
  <c r="M89" i="13"/>
  <c r="J89" i="13"/>
  <c r="K6" i="13"/>
  <c r="G85" i="13"/>
  <c r="F85" i="13"/>
  <c r="E85" i="13"/>
  <c r="D85" i="13"/>
  <c r="C85" i="13"/>
  <c r="E77" i="13"/>
  <c r="D77" i="13"/>
  <c r="C77" i="13"/>
  <c r="G75" i="13"/>
  <c r="F75" i="13"/>
  <c r="K32" i="12"/>
  <c r="L32" i="12"/>
  <c r="M32" i="12"/>
  <c r="N32" i="12"/>
  <c r="J32" i="12"/>
  <c r="K27" i="12"/>
  <c r="L27" i="12"/>
  <c r="M27" i="12"/>
  <c r="N27" i="12"/>
  <c r="J27" i="12"/>
  <c r="K25" i="12"/>
  <c r="L25" i="12"/>
  <c r="M25" i="12"/>
  <c r="N25" i="12"/>
  <c r="J25" i="12"/>
  <c r="K24" i="12"/>
  <c r="L24" i="12"/>
  <c r="M24" i="12"/>
  <c r="N24" i="12"/>
  <c r="J24" i="12"/>
  <c r="K23" i="12"/>
  <c r="L23" i="12"/>
  <c r="M23" i="12"/>
  <c r="N23" i="12"/>
  <c r="J23" i="12"/>
  <c r="K22" i="12"/>
  <c r="L22" i="12"/>
  <c r="M22" i="12"/>
  <c r="N22" i="12"/>
  <c r="J22" i="12"/>
  <c r="K20" i="12"/>
  <c r="L20" i="12"/>
  <c r="M20" i="12"/>
  <c r="N20" i="12"/>
  <c r="J20" i="12"/>
  <c r="K17" i="12"/>
  <c r="L17" i="12"/>
  <c r="M17" i="12"/>
  <c r="N17" i="12"/>
  <c r="J17" i="12"/>
  <c r="K16" i="12"/>
  <c r="L16" i="12"/>
  <c r="M16" i="12"/>
  <c r="N16" i="12"/>
  <c r="J16" i="12"/>
  <c r="K15" i="12"/>
  <c r="L15" i="12"/>
  <c r="M15" i="12"/>
  <c r="N15" i="12"/>
  <c r="J15" i="12"/>
  <c r="K14" i="12"/>
  <c r="L14" i="12"/>
  <c r="M14" i="12"/>
  <c r="N14" i="12"/>
  <c r="J14" i="12"/>
  <c r="K13" i="12"/>
  <c r="L13" i="12"/>
  <c r="M13" i="12"/>
  <c r="N13" i="12"/>
  <c r="J13" i="12"/>
  <c r="K12" i="12"/>
  <c r="L12" i="12"/>
  <c r="M12" i="12"/>
  <c r="N12" i="12"/>
  <c r="J12" i="12"/>
  <c r="K11" i="12"/>
  <c r="L11" i="12"/>
  <c r="M11" i="12"/>
  <c r="N11" i="12"/>
  <c r="J11" i="12"/>
  <c r="K10" i="12"/>
  <c r="L10" i="12"/>
  <c r="M10" i="12"/>
  <c r="N10" i="12"/>
  <c r="J10" i="12"/>
  <c r="K9" i="12"/>
  <c r="L9" i="12"/>
  <c r="M9" i="12"/>
  <c r="N9" i="12"/>
  <c r="J9" i="12"/>
  <c r="K7" i="12"/>
  <c r="L7" i="12"/>
  <c r="M7" i="12"/>
  <c r="N7" i="12"/>
  <c r="J7" i="12"/>
  <c r="K6" i="12"/>
  <c r="L6" i="12"/>
  <c r="M6" i="12"/>
  <c r="N6" i="12"/>
  <c r="J6" i="12"/>
  <c r="K5" i="12"/>
  <c r="L5" i="12"/>
  <c r="M5" i="12"/>
  <c r="N5" i="12"/>
  <c r="J5" i="12"/>
  <c r="K60" i="11"/>
  <c r="L60" i="11"/>
  <c r="M60" i="11"/>
  <c r="N60" i="11"/>
  <c r="J60" i="11"/>
  <c r="K59" i="11"/>
  <c r="L59" i="11"/>
  <c r="M59" i="11"/>
  <c r="N59" i="11"/>
  <c r="J59" i="11"/>
  <c r="K58" i="11"/>
  <c r="L58" i="11"/>
  <c r="M58" i="11"/>
  <c r="N58" i="11"/>
  <c r="J58" i="11"/>
  <c r="K57" i="11"/>
  <c r="L57" i="11"/>
  <c r="M57" i="11"/>
  <c r="N57" i="11"/>
  <c r="J57" i="11"/>
  <c r="K56" i="11"/>
  <c r="L56" i="11"/>
  <c r="M56" i="11"/>
  <c r="N56" i="11"/>
  <c r="J56" i="11"/>
  <c r="K55" i="11"/>
  <c r="L55" i="11"/>
  <c r="M55" i="11"/>
  <c r="N55" i="11"/>
  <c r="J55" i="11"/>
  <c r="K54" i="11"/>
  <c r="L54" i="11"/>
  <c r="M54" i="11"/>
  <c r="N54" i="11"/>
  <c r="J54" i="11"/>
  <c r="K53" i="11"/>
  <c r="L53" i="11"/>
  <c r="M53" i="11"/>
  <c r="N53" i="11"/>
  <c r="J53" i="11"/>
  <c r="K52" i="11"/>
  <c r="L52" i="11"/>
  <c r="M52" i="11"/>
  <c r="N52" i="11"/>
  <c r="J52" i="11"/>
  <c r="K47" i="11"/>
  <c r="L47" i="11"/>
  <c r="M47" i="11"/>
  <c r="N47" i="11"/>
  <c r="J47" i="11"/>
  <c r="G65" i="11"/>
  <c r="F65" i="11"/>
  <c r="K46" i="11"/>
  <c r="L46" i="11"/>
  <c r="M46" i="11"/>
  <c r="N46" i="11"/>
  <c r="J46" i="11"/>
  <c r="K45" i="11"/>
  <c r="L45" i="11"/>
  <c r="M45" i="11"/>
  <c r="N45" i="11"/>
  <c r="J45" i="11"/>
  <c r="K44" i="11"/>
  <c r="L44" i="11"/>
  <c r="M44" i="11"/>
  <c r="N44" i="11"/>
  <c r="J44" i="11"/>
  <c r="K43" i="11"/>
  <c r="L43" i="11"/>
  <c r="M43" i="11"/>
  <c r="N43" i="11"/>
  <c r="J43" i="11"/>
  <c r="K42" i="11"/>
  <c r="L42" i="11"/>
  <c r="M42" i="11"/>
  <c r="N42" i="11"/>
  <c r="J42" i="11"/>
  <c r="K40" i="11"/>
  <c r="L40" i="11"/>
  <c r="M40" i="11"/>
  <c r="N40" i="11"/>
  <c r="J40" i="11"/>
  <c r="K36" i="11"/>
  <c r="L36" i="11"/>
  <c r="M36" i="11"/>
  <c r="N36" i="11"/>
  <c r="J36" i="11"/>
  <c r="K35" i="11"/>
  <c r="L35" i="11"/>
  <c r="M35" i="11"/>
  <c r="N35" i="11"/>
  <c r="J35" i="11"/>
  <c r="K34" i="11"/>
  <c r="L34" i="11"/>
  <c r="M34" i="11"/>
  <c r="N34" i="11"/>
  <c r="J34" i="11"/>
  <c r="K31" i="11"/>
  <c r="L31" i="11"/>
  <c r="M31" i="11"/>
  <c r="N31" i="11"/>
  <c r="J31" i="11"/>
  <c r="K30" i="11"/>
  <c r="N30" i="11"/>
  <c r="G45" i="11"/>
  <c r="F45" i="11"/>
  <c r="K29" i="11"/>
  <c r="L29" i="11"/>
  <c r="M29" i="11"/>
  <c r="N29" i="11"/>
  <c r="J29" i="11"/>
  <c r="K28" i="11"/>
  <c r="L28" i="11"/>
  <c r="M28" i="11"/>
  <c r="N28" i="11"/>
  <c r="J28" i="11"/>
  <c r="K27" i="11"/>
  <c r="L27" i="11"/>
  <c r="M27" i="11"/>
  <c r="N27" i="11"/>
  <c r="J27" i="11"/>
  <c r="K26" i="11"/>
  <c r="L26" i="11"/>
  <c r="M26" i="11"/>
  <c r="N26" i="11"/>
  <c r="J26" i="11"/>
  <c r="K25" i="11"/>
  <c r="L25" i="11"/>
  <c r="M25" i="11"/>
  <c r="N25" i="11"/>
  <c r="J25" i="11"/>
  <c r="K22" i="11"/>
  <c r="L22" i="11"/>
  <c r="M22" i="11"/>
  <c r="N22" i="11"/>
  <c r="J22" i="11"/>
  <c r="K20" i="11"/>
  <c r="L20" i="11"/>
  <c r="M20" i="11"/>
  <c r="N20" i="11"/>
  <c r="J20" i="11"/>
  <c r="K19" i="11"/>
  <c r="L19" i="11"/>
  <c r="M19" i="11"/>
  <c r="N19" i="11"/>
  <c r="J19" i="11"/>
  <c r="K16" i="11"/>
  <c r="L16" i="11"/>
  <c r="M16" i="11"/>
  <c r="N16" i="11"/>
  <c r="J16" i="11"/>
  <c r="K15" i="11"/>
  <c r="L15" i="11"/>
  <c r="M15" i="11"/>
  <c r="N15" i="11"/>
  <c r="J15" i="11"/>
  <c r="K13" i="11"/>
  <c r="L13" i="11"/>
  <c r="M13" i="11"/>
  <c r="N13" i="11"/>
  <c r="J13" i="11"/>
  <c r="K12" i="11"/>
  <c r="L12" i="11"/>
  <c r="M12" i="11"/>
  <c r="N12" i="11"/>
  <c r="J12" i="11"/>
  <c r="K11" i="11"/>
  <c r="L11" i="11"/>
  <c r="M11" i="11"/>
  <c r="N11" i="11"/>
  <c r="J11" i="11"/>
  <c r="K7" i="11"/>
  <c r="L7" i="11"/>
  <c r="M7" i="11"/>
  <c r="N7" i="11"/>
  <c r="J7" i="11"/>
  <c r="N8" i="11"/>
  <c r="M8" i="11"/>
  <c r="L8" i="11"/>
  <c r="K8" i="11"/>
  <c r="J8" i="11"/>
  <c r="G89" i="11"/>
  <c r="F89" i="11"/>
  <c r="E89" i="11"/>
  <c r="D89" i="11"/>
  <c r="C89" i="11"/>
  <c r="E81" i="11"/>
  <c r="D81" i="11"/>
  <c r="C81" i="11"/>
  <c r="G79" i="11"/>
  <c r="F79" i="11"/>
  <c r="Y4" i="10"/>
  <c r="Z4" i="10"/>
  <c r="AA4" i="10"/>
  <c r="AB4" i="10"/>
  <c r="AC4" i="10"/>
  <c r="Y7" i="10"/>
  <c r="Z7" i="10"/>
  <c r="AA7" i="10"/>
  <c r="AB7" i="10"/>
  <c r="AC7" i="10"/>
  <c r="Y9" i="10"/>
  <c r="Z9" i="10"/>
  <c r="AA9" i="10"/>
  <c r="AB9" i="10"/>
  <c r="AC9" i="10"/>
  <c r="Y11" i="10"/>
  <c r="Z11" i="10"/>
  <c r="AA11" i="10"/>
  <c r="AB11" i="10"/>
  <c r="AC11" i="10"/>
  <c r="Y19" i="10"/>
  <c r="Z19" i="10"/>
  <c r="AA19" i="10"/>
  <c r="AB19" i="10"/>
  <c r="AC19" i="10"/>
  <c r="Y20" i="10"/>
  <c r="Z20" i="10"/>
  <c r="AA20" i="10"/>
  <c r="AB20" i="10"/>
  <c r="AC20" i="10"/>
  <c r="Y22" i="10"/>
  <c r="Z22" i="10"/>
  <c r="AA22" i="10"/>
  <c r="AB22" i="10"/>
  <c r="AC22" i="10"/>
  <c r="Y26" i="10"/>
  <c r="Z26" i="10"/>
  <c r="AA26" i="10"/>
  <c r="AB26" i="10"/>
  <c r="AC26" i="10"/>
  <c r="Y27" i="10"/>
  <c r="Z27" i="10"/>
  <c r="AA27" i="10"/>
  <c r="AB27" i="10"/>
  <c r="AC27" i="10"/>
  <c r="Y28" i="10"/>
  <c r="Z28" i="10"/>
  <c r="AA28" i="10"/>
  <c r="AB28" i="10"/>
  <c r="AC28" i="10"/>
  <c r="Y30" i="10"/>
  <c r="Z30" i="10"/>
  <c r="AA30" i="10"/>
  <c r="AB30" i="10"/>
  <c r="AC30" i="10"/>
  <c r="Y32" i="10"/>
  <c r="Z32" i="10"/>
  <c r="AA32" i="10"/>
  <c r="AB32" i="10"/>
  <c r="AC32" i="10"/>
  <c r="Y33" i="10"/>
  <c r="Z33" i="10"/>
  <c r="AA33" i="10"/>
  <c r="AB33" i="10"/>
  <c r="AC33" i="10"/>
  <c r="Y42" i="10"/>
  <c r="Z42" i="10"/>
  <c r="AA42" i="10"/>
  <c r="AB42" i="10"/>
  <c r="AC42" i="10"/>
  <c r="R5" i="10"/>
  <c r="S5" i="10"/>
  <c r="T5" i="10"/>
  <c r="U5" i="10"/>
  <c r="V5" i="10"/>
  <c r="R6" i="10"/>
  <c r="S6" i="10"/>
  <c r="T6" i="10"/>
  <c r="U6" i="10"/>
  <c r="V6" i="10"/>
  <c r="R9" i="10"/>
  <c r="S9" i="10"/>
  <c r="T9" i="10"/>
  <c r="U9" i="10"/>
  <c r="V9" i="10"/>
  <c r="R12" i="10"/>
  <c r="S12" i="10"/>
  <c r="T12" i="10"/>
  <c r="U12" i="10"/>
  <c r="V12" i="10"/>
  <c r="R17" i="10"/>
  <c r="S17" i="10"/>
  <c r="T17" i="10"/>
  <c r="U17" i="10"/>
  <c r="V17" i="10"/>
  <c r="R19" i="10"/>
  <c r="S19" i="10"/>
  <c r="T19" i="10"/>
  <c r="U19" i="10"/>
  <c r="V19" i="10"/>
  <c r="R20" i="10"/>
  <c r="S20" i="10"/>
  <c r="T20" i="10"/>
  <c r="U20" i="10"/>
  <c r="V20" i="10"/>
  <c r="R21" i="10"/>
  <c r="S21" i="10"/>
  <c r="T21" i="10"/>
  <c r="U21" i="10"/>
  <c r="V21" i="10"/>
  <c r="R27" i="10"/>
  <c r="S27" i="10"/>
  <c r="T27" i="10"/>
  <c r="U27" i="10"/>
  <c r="V27" i="10"/>
  <c r="R32" i="10"/>
  <c r="S32" i="10"/>
  <c r="T32" i="10"/>
  <c r="U32" i="10"/>
  <c r="V32" i="10"/>
  <c r="R33" i="10"/>
  <c r="S33" i="10"/>
  <c r="T33" i="10"/>
  <c r="U33" i="10"/>
  <c r="V33" i="10"/>
  <c r="R41" i="10"/>
  <c r="S41" i="10"/>
  <c r="T41" i="10"/>
  <c r="U41" i="10"/>
  <c r="V41" i="10"/>
  <c r="R42" i="10"/>
  <c r="S42" i="10"/>
  <c r="T42" i="10"/>
  <c r="U42" i="10"/>
  <c r="V42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K28" i="10"/>
  <c r="L28" i="10"/>
  <c r="M28" i="10"/>
  <c r="N28" i="10"/>
  <c r="J28" i="10"/>
  <c r="N27" i="10"/>
  <c r="M27" i="10"/>
  <c r="L27" i="10"/>
  <c r="K27" i="10"/>
  <c r="J27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N22" i="10"/>
  <c r="M22" i="10"/>
  <c r="L22" i="10"/>
  <c r="K22" i="10"/>
  <c r="J23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J18" i="10"/>
  <c r="N18" i="10"/>
  <c r="M18" i="10"/>
  <c r="L18" i="10"/>
  <c r="K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J12" i="10"/>
  <c r="N12" i="10"/>
  <c r="M12" i="10"/>
  <c r="L12" i="10"/>
  <c r="K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K60" i="9"/>
  <c r="L60" i="9"/>
  <c r="M60" i="9"/>
  <c r="N60" i="9"/>
  <c r="J60" i="9"/>
  <c r="K59" i="9"/>
  <c r="L59" i="9"/>
  <c r="M59" i="9"/>
  <c r="N59" i="9"/>
  <c r="J59" i="9"/>
  <c r="K58" i="9"/>
  <c r="L58" i="9"/>
  <c r="M58" i="9"/>
  <c r="N58" i="9"/>
  <c r="J58" i="9"/>
  <c r="K57" i="9"/>
  <c r="L57" i="9"/>
  <c r="M57" i="9"/>
  <c r="N57" i="9"/>
  <c r="J57" i="9"/>
  <c r="K56" i="9"/>
  <c r="L56" i="9"/>
  <c r="M56" i="9"/>
  <c r="N56" i="9"/>
  <c r="J56" i="9"/>
  <c r="K55" i="9"/>
  <c r="L55" i="9"/>
  <c r="M55" i="9"/>
  <c r="N55" i="9"/>
  <c r="J55" i="9"/>
  <c r="K54" i="9"/>
  <c r="L54" i="9"/>
  <c r="M54" i="9"/>
  <c r="N54" i="9"/>
  <c r="J54" i="9"/>
  <c r="K53" i="9"/>
  <c r="L53" i="9"/>
  <c r="M53" i="9"/>
  <c r="N53" i="9"/>
  <c r="K52" i="9"/>
  <c r="L52" i="9"/>
  <c r="M52" i="9"/>
  <c r="N52" i="9"/>
  <c r="J53" i="9"/>
  <c r="J52" i="9"/>
  <c r="K50" i="9"/>
  <c r="L50" i="9"/>
  <c r="M50" i="9"/>
  <c r="N50" i="9"/>
  <c r="J50" i="9"/>
  <c r="K47" i="9"/>
  <c r="L47" i="9"/>
  <c r="J47" i="9"/>
  <c r="K46" i="9"/>
  <c r="L46" i="9"/>
  <c r="M46" i="9"/>
  <c r="N46" i="9"/>
  <c r="J46" i="9"/>
  <c r="K45" i="9"/>
  <c r="L45" i="9"/>
  <c r="M45" i="9"/>
  <c r="N45" i="9"/>
  <c r="J45" i="9"/>
  <c r="K44" i="9"/>
  <c r="L44" i="9"/>
  <c r="M44" i="9"/>
  <c r="N44" i="9"/>
  <c r="J44" i="9"/>
  <c r="K43" i="9"/>
  <c r="L43" i="9"/>
  <c r="M43" i="9"/>
  <c r="N43" i="9"/>
  <c r="K42" i="9"/>
  <c r="L42" i="9"/>
  <c r="M42" i="9"/>
  <c r="N42" i="9"/>
  <c r="K41" i="9"/>
  <c r="L41" i="9"/>
  <c r="M41" i="9"/>
  <c r="N41" i="9"/>
  <c r="K40" i="9"/>
  <c r="L40" i="9"/>
  <c r="M40" i="9"/>
  <c r="N40" i="9"/>
  <c r="J43" i="9"/>
  <c r="J42" i="9"/>
  <c r="J41" i="9"/>
  <c r="J40" i="9"/>
  <c r="K36" i="9"/>
  <c r="L36" i="9"/>
  <c r="M36" i="9"/>
  <c r="N36" i="9"/>
  <c r="J36" i="9"/>
  <c r="K35" i="9"/>
  <c r="L35" i="9"/>
  <c r="M35" i="9"/>
  <c r="N35" i="9"/>
  <c r="J35" i="9"/>
  <c r="K34" i="9"/>
  <c r="L34" i="9"/>
  <c r="M34" i="9"/>
  <c r="N34" i="9"/>
  <c r="J34" i="9"/>
  <c r="K31" i="9"/>
  <c r="L31" i="9"/>
  <c r="M31" i="9"/>
  <c r="N31" i="9"/>
  <c r="J31" i="9"/>
  <c r="K30" i="9"/>
  <c r="L30" i="9"/>
  <c r="M30" i="9"/>
  <c r="N30" i="9"/>
  <c r="J30" i="9"/>
  <c r="K29" i="9"/>
  <c r="L29" i="9"/>
  <c r="M29" i="9"/>
  <c r="N29" i="9"/>
  <c r="K28" i="9"/>
  <c r="L28" i="9"/>
  <c r="M28" i="9"/>
  <c r="N28" i="9"/>
  <c r="J29" i="9"/>
  <c r="J28" i="9"/>
  <c r="K26" i="9"/>
  <c r="L26" i="9"/>
  <c r="M26" i="9"/>
  <c r="N26" i="9"/>
  <c r="J26" i="9"/>
  <c r="K25" i="9"/>
  <c r="L25" i="9"/>
  <c r="M25" i="9"/>
  <c r="N25" i="9"/>
  <c r="J25" i="9"/>
  <c r="J35" i="1"/>
  <c r="K24" i="9"/>
  <c r="L24" i="9"/>
  <c r="M24" i="9"/>
  <c r="N24" i="9"/>
  <c r="J24" i="9"/>
  <c r="J22" i="9"/>
  <c r="K22" i="9"/>
  <c r="L22" i="9"/>
  <c r="M22" i="9"/>
  <c r="N22" i="9"/>
  <c r="N20" i="9"/>
  <c r="M20" i="9"/>
  <c r="L20" i="9"/>
  <c r="K20" i="9"/>
  <c r="J20" i="9"/>
  <c r="J14" i="9"/>
  <c r="J19" i="9"/>
  <c r="K19" i="9"/>
  <c r="L19" i="9"/>
  <c r="M19" i="9"/>
  <c r="N19" i="9"/>
  <c r="N9" i="9"/>
  <c r="M9" i="9"/>
  <c r="L9" i="9"/>
  <c r="K9" i="9"/>
  <c r="J9" i="9"/>
  <c r="J11" i="1"/>
  <c r="N16" i="9"/>
  <c r="M16" i="9"/>
  <c r="L16" i="9"/>
  <c r="K16" i="9"/>
  <c r="J16" i="9"/>
  <c r="N15" i="9"/>
  <c r="M15" i="9"/>
  <c r="L15" i="9"/>
  <c r="K15" i="9"/>
  <c r="J15" i="9"/>
  <c r="N14" i="9"/>
  <c r="M14" i="9"/>
  <c r="L14" i="9"/>
  <c r="K14" i="9"/>
  <c r="N13" i="9"/>
  <c r="M13" i="9"/>
  <c r="L13" i="9"/>
  <c r="K13" i="9"/>
  <c r="J13" i="9"/>
  <c r="N12" i="9"/>
  <c r="M12" i="9"/>
  <c r="L12" i="9"/>
  <c r="K12" i="9"/>
  <c r="J12" i="9"/>
  <c r="J11" i="9"/>
  <c r="N11" i="9"/>
  <c r="M11" i="9"/>
  <c r="L11" i="9"/>
  <c r="K11" i="9"/>
  <c r="J16" i="1"/>
  <c r="N8" i="9"/>
  <c r="M8" i="9"/>
  <c r="L8" i="9"/>
  <c r="K8" i="9"/>
  <c r="J8" i="9"/>
  <c r="N7" i="9"/>
  <c r="M7" i="9"/>
  <c r="L7" i="9"/>
  <c r="K7" i="9"/>
  <c r="J7" i="9"/>
  <c r="G89" i="9"/>
  <c r="F89" i="9"/>
  <c r="E89" i="9"/>
  <c r="D89" i="9"/>
  <c r="C89" i="9"/>
  <c r="E81" i="9"/>
  <c r="D81" i="9"/>
  <c r="C81" i="9"/>
  <c r="G79" i="9"/>
  <c r="G81" i="9" s="1"/>
  <c r="F79" i="9"/>
  <c r="L34" i="7"/>
  <c r="M34" i="7"/>
  <c r="N34" i="7"/>
  <c r="O34" i="7"/>
  <c r="K34" i="7"/>
  <c r="O31" i="7"/>
  <c r="O32" i="7" s="1"/>
  <c r="N31" i="7"/>
  <c r="N32" i="7" s="1"/>
  <c r="M31" i="7"/>
  <c r="M32" i="7" s="1"/>
  <c r="L31" i="7"/>
  <c r="L32" i="7" s="1"/>
  <c r="K31" i="7"/>
  <c r="K32" i="7" s="1"/>
  <c r="G81" i="7"/>
  <c r="F81" i="7"/>
  <c r="E81" i="7"/>
  <c r="F77" i="13" l="1"/>
  <c r="G81" i="11"/>
  <c r="M30" i="11"/>
  <c r="L30" i="11"/>
  <c r="J30" i="11"/>
  <c r="F81" i="11"/>
  <c r="F81" i="9"/>
  <c r="L30" i="7" l="1"/>
  <c r="M30" i="7"/>
  <c r="N30" i="7"/>
  <c r="O30" i="7"/>
  <c r="K30" i="7"/>
  <c r="L28" i="7"/>
  <c r="M28" i="7"/>
  <c r="N28" i="7"/>
  <c r="O28" i="7"/>
  <c r="K28" i="7"/>
  <c r="L19" i="7"/>
  <c r="M19" i="7"/>
  <c r="N19" i="7"/>
  <c r="O19" i="7"/>
  <c r="K19" i="7"/>
  <c r="L24" i="7"/>
  <c r="M24" i="7"/>
  <c r="N24" i="7"/>
  <c r="O24" i="7"/>
  <c r="K24" i="7"/>
  <c r="L25" i="7"/>
  <c r="M25" i="7"/>
  <c r="N25" i="7"/>
  <c r="O25" i="7"/>
  <c r="K25" i="7"/>
  <c r="L20" i="7"/>
  <c r="M20" i="7"/>
  <c r="N20" i="7"/>
  <c r="O20" i="7"/>
  <c r="K20" i="7"/>
  <c r="L16" i="7"/>
  <c r="M16" i="7"/>
  <c r="N16" i="7"/>
  <c r="O16" i="7"/>
  <c r="K16" i="7"/>
  <c r="L17" i="7"/>
  <c r="M17" i="7"/>
  <c r="N17" i="7"/>
  <c r="O17" i="7"/>
  <c r="K17" i="7"/>
  <c r="R9" i="7"/>
  <c r="S9" i="7"/>
  <c r="T9" i="7"/>
  <c r="U9" i="7"/>
  <c r="Q9" i="7"/>
  <c r="R10" i="7"/>
  <c r="S10" i="7"/>
  <c r="T10" i="7"/>
  <c r="U10" i="7"/>
  <c r="Q10" i="7"/>
  <c r="L10" i="7"/>
  <c r="M10" i="7"/>
  <c r="N10" i="7"/>
  <c r="O10" i="7"/>
  <c r="K10" i="7"/>
  <c r="L6" i="7"/>
  <c r="M6" i="7"/>
  <c r="N6" i="7"/>
  <c r="O6" i="7"/>
  <c r="K6" i="7"/>
  <c r="L5" i="7"/>
  <c r="M5" i="7"/>
  <c r="N5" i="7"/>
  <c r="O5" i="7"/>
  <c r="K5" i="7"/>
  <c r="S33" i="2" l="1"/>
  <c r="T33" i="2"/>
  <c r="U33" i="2"/>
  <c r="V33" i="2"/>
  <c r="R33" i="2"/>
  <c r="S32" i="2"/>
  <c r="T32" i="2"/>
  <c r="U32" i="2"/>
  <c r="V32" i="2"/>
  <c r="R32" i="2"/>
  <c r="S42" i="2"/>
  <c r="T42" i="2"/>
  <c r="U42" i="2"/>
  <c r="V42" i="2"/>
  <c r="R42" i="2"/>
  <c r="S30" i="2"/>
  <c r="T30" i="2"/>
  <c r="U30" i="2"/>
  <c r="V30" i="2"/>
  <c r="R30" i="2"/>
  <c r="S28" i="2"/>
  <c r="T28" i="2"/>
  <c r="U28" i="2"/>
  <c r="V28" i="2"/>
  <c r="R28" i="2"/>
  <c r="S27" i="2"/>
  <c r="T27" i="2"/>
  <c r="U27" i="2"/>
  <c r="V27" i="2"/>
  <c r="R27" i="2"/>
  <c r="S26" i="2"/>
  <c r="T26" i="2"/>
  <c r="U26" i="2"/>
  <c r="V26" i="2"/>
  <c r="R26" i="2"/>
  <c r="S22" i="2"/>
  <c r="T22" i="2"/>
  <c r="U22" i="2"/>
  <c r="V22" i="2"/>
  <c r="R22" i="2"/>
  <c r="V19" i="2"/>
  <c r="V20" i="2" s="1"/>
  <c r="V11" i="2"/>
  <c r="R11" i="2"/>
  <c r="S9" i="2"/>
  <c r="S11" i="2" s="1"/>
  <c r="T9" i="2"/>
  <c r="T11" i="2" s="1"/>
  <c r="U9" i="2"/>
  <c r="U11" i="2" s="1"/>
  <c r="V9" i="2"/>
  <c r="R9" i="2"/>
  <c r="R19" i="2" s="1"/>
  <c r="R20" i="2" s="1"/>
  <c r="S7" i="2"/>
  <c r="T7" i="2"/>
  <c r="U7" i="2"/>
  <c r="R7" i="2"/>
  <c r="S4" i="2"/>
  <c r="T4" i="2"/>
  <c r="U4" i="2"/>
  <c r="R4" i="2"/>
  <c r="L42" i="2"/>
  <c r="O42" i="2"/>
  <c r="L41" i="2"/>
  <c r="M41" i="2"/>
  <c r="M42" i="2" s="1"/>
  <c r="N41" i="2"/>
  <c r="N42" i="2" s="1"/>
  <c r="O41" i="2"/>
  <c r="L33" i="2"/>
  <c r="M33" i="2"/>
  <c r="N33" i="2"/>
  <c r="O33" i="2"/>
  <c r="L32" i="2"/>
  <c r="M32" i="2"/>
  <c r="N32" i="2"/>
  <c r="O32" i="2"/>
  <c r="L27" i="2"/>
  <c r="M27" i="2"/>
  <c r="N27" i="2"/>
  <c r="O27" i="2"/>
  <c r="L21" i="2"/>
  <c r="M21" i="2"/>
  <c r="N21" i="2"/>
  <c r="O21" i="2"/>
  <c r="L20" i="2"/>
  <c r="M20" i="2"/>
  <c r="N20" i="2"/>
  <c r="O20" i="2"/>
  <c r="K41" i="2"/>
  <c r="K42" i="2" s="1"/>
  <c r="K33" i="2"/>
  <c r="K32" i="2"/>
  <c r="K27" i="2"/>
  <c r="K21" i="2"/>
  <c r="K20" i="2"/>
  <c r="L19" i="2"/>
  <c r="M19" i="2"/>
  <c r="N19" i="2"/>
  <c r="O19" i="2"/>
  <c r="K19" i="2"/>
  <c r="L17" i="2"/>
  <c r="M17" i="2"/>
  <c r="N17" i="2"/>
  <c r="O17" i="2"/>
  <c r="K17" i="2"/>
  <c r="L12" i="2"/>
  <c r="M12" i="2"/>
  <c r="N12" i="2"/>
  <c r="O12" i="2"/>
  <c r="K12" i="2"/>
  <c r="L9" i="2"/>
  <c r="M9" i="2"/>
  <c r="N9" i="2"/>
  <c r="O9" i="2"/>
  <c r="K9" i="2"/>
  <c r="L6" i="2"/>
  <c r="M6" i="2"/>
  <c r="N6" i="2"/>
  <c r="O6" i="2"/>
  <c r="K6" i="2"/>
  <c r="L5" i="2"/>
  <c r="M5" i="2"/>
  <c r="N5" i="2"/>
  <c r="O5" i="2"/>
  <c r="K5" i="2"/>
  <c r="U19" i="2" l="1"/>
  <c r="U20" i="2" s="1"/>
  <c r="T19" i="2"/>
  <c r="T20" i="2" s="1"/>
  <c r="S19" i="2"/>
  <c r="S20" i="2" s="1"/>
  <c r="D85" i="1" l="1"/>
  <c r="E85" i="1"/>
  <c r="F85" i="1"/>
  <c r="G85" i="1"/>
  <c r="C85" i="1"/>
  <c r="K77" i="1"/>
  <c r="L77" i="1"/>
  <c r="M77" i="1"/>
  <c r="N77" i="1"/>
  <c r="J77" i="1"/>
  <c r="D77" i="1"/>
  <c r="E77" i="1"/>
  <c r="F77" i="1"/>
  <c r="G77" i="1"/>
  <c r="C77" i="1"/>
  <c r="G75" i="1"/>
  <c r="F75" i="1"/>
  <c r="M75" i="1"/>
  <c r="K75" i="1"/>
  <c r="L75" i="1"/>
  <c r="N75" i="1"/>
  <c r="J75" i="1"/>
  <c r="K74" i="1"/>
  <c r="L74" i="1"/>
  <c r="M74" i="1"/>
  <c r="N74" i="1"/>
  <c r="K73" i="1"/>
  <c r="L73" i="1"/>
  <c r="M73" i="1"/>
  <c r="N73" i="1"/>
  <c r="J74" i="1"/>
  <c r="J73" i="1"/>
  <c r="K72" i="1"/>
  <c r="L72" i="1"/>
  <c r="M72" i="1"/>
  <c r="N72" i="1"/>
  <c r="K71" i="1"/>
  <c r="L71" i="1"/>
  <c r="M71" i="1"/>
  <c r="N71" i="1"/>
  <c r="J72" i="1"/>
  <c r="J71" i="1"/>
  <c r="K69" i="1"/>
  <c r="L69" i="1"/>
  <c r="M69" i="1"/>
  <c r="N69" i="1"/>
  <c r="J69" i="1"/>
  <c r="K63" i="1"/>
  <c r="L63" i="1"/>
  <c r="M63" i="1"/>
  <c r="N63" i="1"/>
  <c r="J63" i="1"/>
  <c r="K61" i="1"/>
  <c r="L61" i="1"/>
  <c r="M61" i="1"/>
  <c r="N61" i="1"/>
  <c r="K59" i="1"/>
  <c r="L59" i="1"/>
  <c r="M59" i="1"/>
  <c r="N59" i="1"/>
  <c r="K58" i="1"/>
  <c r="L58" i="1"/>
  <c r="M58" i="1"/>
  <c r="N58" i="1"/>
  <c r="K54" i="1"/>
  <c r="L54" i="1"/>
  <c r="M54" i="1"/>
  <c r="N54" i="1"/>
  <c r="K50" i="1"/>
  <c r="L50" i="1"/>
  <c r="M50" i="1"/>
  <c r="N50" i="1"/>
  <c r="K47" i="1"/>
  <c r="L47" i="1"/>
  <c r="M47" i="1"/>
  <c r="N47" i="1"/>
  <c r="K46" i="1"/>
  <c r="L46" i="1"/>
  <c r="M46" i="1"/>
  <c r="N46" i="1"/>
  <c r="K41" i="1"/>
  <c r="L41" i="1"/>
  <c r="M41" i="1"/>
  <c r="N41" i="1"/>
  <c r="K40" i="1"/>
  <c r="L40" i="1"/>
  <c r="M40" i="1"/>
  <c r="N40" i="1"/>
  <c r="K38" i="1"/>
  <c r="L38" i="1"/>
  <c r="M38" i="1"/>
  <c r="N38" i="1"/>
  <c r="K37" i="1"/>
  <c r="L37" i="1"/>
  <c r="M37" i="1"/>
  <c r="N37" i="1"/>
  <c r="K35" i="1"/>
  <c r="L35" i="1"/>
  <c r="M35" i="1"/>
  <c r="N35" i="1"/>
  <c r="K34" i="1"/>
  <c r="L34" i="1"/>
  <c r="M34" i="1"/>
  <c r="N34" i="1"/>
  <c r="K33" i="1"/>
  <c r="L33" i="1"/>
  <c r="M33" i="1"/>
  <c r="N33" i="1"/>
  <c r="K32" i="1"/>
  <c r="L32" i="1"/>
  <c r="M32" i="1"/>
  <c r="N32" i="1"/>
  <c r="K31" i="1"/>
  <c r="L31" i="1"/>
  <c r="M31" i="1"/>
  <c r="N31" i="1"/>
  <c r="K28" i="1"/>
  <c r="L28" i="1"/>
  <c r="M28" i="1"/>
  <c r="N28" i="1"/>
  <c r="J61" i="1"/>
  <c r="J60" i="1"/>
  <c r="K60" i="1"/>
  <c r="L60" i="1"/>
  <c r="M60" i="1"/>
  <c r="N60" i="1"/>
  <c r="J59" i="1"/>
  <c r="J58" i="1"/>
  <c r="J54" i="1"/>
  <c r="J50" i="1"/>
  <c r="J47" i="1"/>
  <c r="J46" i="1"/>
  <c r="J41" i="1"/>
  <c r="J40" i="1"/>
  <c r="J38" i="1"/>
  <c r="J37" i="1"/>
  <c r="J34" i="1"/>
  <c r="J33" i="1"/>
  <c r="J32" i="1"/>
  <c r="J31" i="1"/>
  <c r="J28" i="1"/>
  <c r="K26" i="1"/>
  <c r="L26" i="1"/>
  <c r="M26" i="1"/>
  <c r="N26" i="1"/>
  <c r="J26" i="1"/>
  <c r="K25" i="1"/>
  <c r="L25" i="1"/>
  <c r="M25" i="1"/>
  <c r="N25" i="1"/>
  <c r="J25" i="1"/>
  <c r="K23" i="1"/>
  <c r="L23" i="1"/>
  <c r="M23" i="1"/>
  <c r="N23" i="1"/>
  <c r="J23" i="1"/>
  <c r="K16" i="1"/>
  <c r="L16" i="1"/>
  <c r="M16" i="1"/>
  <c r="N16" i="1"/>
  <c r="K11" i="1"/>
  <c r="L11" i="1"/>
  <c r="M11" i="1"/>
  <c r="N11" i="1"/>
  <c r="K8" i="1"/>
  <c r="L8" i="1"/>
  <c r="M8" i="1"/>
  <c r="N8" i="1"/>
  <c r="J8" i="1"/>
  <c r="K7" i="1"/>
  <c r="L7" i="1"/>
  <c r="M7" i="1"/>
  <c r="N7" i="1"/>
  <c r="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<sst xmlns="http://schemas.openxmlformats.org/spreadsheetml/2006/main" count="1407" uniqueCount="477">
  <si>
    <t>Particulars</t>
  </si>
  <si>
    <t xml:space="preserve">As at March 31, 2021 </t>
  </si>
  <si>
    <t xml:space="preserve">As at March 31, 2020 </t>
  </si>
  <si>
    <t xml:space="preserve">As at March 31, 2019 </t>
  </si>
  <si>
    <t>ASSETS</t>
  </si>
  <si>
    <t>Non-Current Assets</t>
  </si>
  <si>
    <t>Property, Plant and Equipment</t>
  </si>
  <si>
    <t>Current Assets</t>
  </si>
  <si>
    <t>EQUITY AND LIABILITIES</t>
  </si>
  <si>
    <t>Equity</t>
  </si>
  <si>
    <t>Liabilities</t>
  </si>
  <si>
    <t>Non-current liabilities</t>
  </si>
  <si>
    <t>Capital Work-in-progress</t>
  </si>
  <si>
    <t>Other Intangible Assets</t>
  </si>
  <si>
    <t>Financial Assets</t>
  </si>
  <si>
    <t>Current Tax Assets (Net)</t>
  </si>
  <si>
    <t>Inventories</t>
  </si>
  <si>
    <t>Other Current Assets</t>
  </si>
  <si>
    <t>Total Assets</t>
  </si>
  <si>
    <t>Equity Share Capital</t>
  </si>
  <si>
    <t>Other Equity</t>
  </si>
  <si>
    <t>Total Equity</t>
  </si>
  <si>
    <t>Financial Liabilities</t>
  </si>
  <si>
    <t>Provisions</t>
  </si>
  <si>
    <t xml:space="preserve">Deferred Tax Liabilities (Net) </t>
  </si>
  <si>
    <t>Other Non-current Liabilities</t>
  </si>
  <si>
    <t>Current Liabilities</t>
  </si>
  <si>
    <t>Other Current Liabilities</t>
  </si>
  <si>
    <t xml:space="preserve">Current Tax Liabilities (Net) </t>
  </si>
  <si>
    <t>Total Equity and Liabilities</t>
  </si>
  <si>
    <t>Total Liabilities</t>
  </si>
  <si>
    <t xml:space="preserve">            - Total Outstanding dues of Micro and Small Enterprises</t>
  </si>
  <si>
    <t xml:space="preserve">            - Total Outstanding dues of creditors other than Micro and Small Enterprises</t>
  </si>
  <si>
    <t xml:space="preserve">Deferred Tax Assets (Net) </t>
  </si>
  <si>
    <t>Total Non-current Assets</t>
  </si>
  <si>
    <t>Total Current Assets</t>
  </si>
  <si>
    <t>Total Non-current liabilities</t>
  </si>
  <si>
    <t>Total Current liabilities</t>
  </si>
  <si>
    <t>MPS (INR)</t>
  </si>
  <si>
    <t>Revenue from operations</t>
  </si>
  <si>
    <t>Other Income</t>
  </si>
  <si>
    <t>Expenses</t>
  </si>
  <si>
    <t>Other Comprehensive Income (net of Tax)</t>
  </si>
  <si>
    <t>Cost of materials consumed</t>
  </si>
  <si>
    <t>Purchases of stock-in-trade</t>
  </si>
  <si>
    <t>Changes in inventories of finished goods, work-in-progress and stock-in-trade</t>
  </si>
  <si>
    <t>Employee benefits expense</t>
  </si>
  <si>
    <t>Depreciation and Amortisation expense</t>
  </si>
  <si>
    <t>Other Expenses</t>
  </si>
  <si>
    <t xml:space="preserve">Tax expense </t>
  </si>
  <si>
    <t xml:space="preserve">     Deferred Tax</t>
  </si>
  <si>
    <t xml:space="preserve">     Current Tax </t>
  </si>
  <si>
    <t>Adjustment for:</t>
  </si>
  <si>
    <t>Depreciation and Amortisation Expenses</t>
  </si>
  <si>
    <t>Cash Generated from Operations</t>
  </si>
  <si>
    <t>Interest Received</t>
  </si>
  <si>
    <t>DPS</t>
  </si>
  <si>
    <t xml:space="preserve"> March 31, 2021 </t>
  </si>
  <si>
    <t xml:space="preserve">As at March 31, 2022 </t>
  </si>
  <si>
    <t xml:space="preserve">As at March 31, 2023 </t>
  </si>
  <si>
    <t xml:space="preserve"> March 31, 2023</t>
  </si>
  <si>
    <t xml:space="preserve"> March 31, 2022</t>
  </si>
  <si>
    <t xml:space="preserve"> March 31, 2020 </t>
  </si>
  <si>
    <t xml:space="preserve"> March 31, 2019 </t>
  </si>
  <si>
    <t>PPE</t>
  </si>
  <si>
    <t>Capital WIP</t>
  </si>
  <si>
    <t>Intangible Assets</t>
  </si>
  <si>
    <t>Deferred Tax Assets (Net)</t>
  </si>
  <si>
    <t>Table 1.2: Balance Sheet &amp; its Contents</t>
  </si>
  <si>
    <t>As at March 31, 2023</t>
  </si>
  <si>
    <t>As at March 31, 2022</t>
  </si>
  <si>
    <t>As at March 31, 2021</t>
  </si>
  <si>
    <t>As at March 31, 2020</t>
  </si>
  <si>
    <t>As at March 31, 2019</t>
  </si>
  <si>
    <t>Other NCAs</t>
  </si>
  <si>
    <t>Current Tax Assets</t>
  </si>
  <si>
    <t>Total Non-Current Assets</t>
  </si>
  <si>
    <t>Trade Receivables</t>
  </si>
  <si>
    <t>Loans</t>
  </si>
  <si>
    <t>Other Financial Assets</t>
  </si>
  <si>
    <t>Equity and Liabilities</t>
  </si>
  <si>
    <t>Cash and Bank Balances</t>
  </si>
  <si>
    <t xml:space="preserve">    </t>
  </si>
  <si>
    <t>Trade Payables</t>
  </si>
  <si>
    <t>Value per Share (Book Value)</t>
  </si>
  <si>
    <t>Price to Book Value (P/BV) Ratio</t>
  </si>
  <si>
    <t>current MPS/P/BV Ratio</t>
  </si>
  <si>
    <t>MPS (INR) as of Sept 1, 2023 (Rs)</t>
  </si>
  <si>
    <t>Price to Book Value (P/BV) Ratio as of Sep 1, 2023</t>
  </si>
  <si>
    <t>Tangible Value of the Firm (Total Equity - Intangible Assets)</t>
  </si>
  <si>
    <t>Tangible Value per Share (Tangible Value / No. of Equity Shares)</t>
  </si>
  <si>
    <t xml:space="preserve">Ex: Calculation of Liquidation Value: </t>
  </si>
  <si>
    <t>Realisable Value of the Assets</t>
  </si>
  <si>
    <t>Total Liabilities (Non CL + CL)</t>
  </si>
  <si>
    <t>Liquidation Value (Realisable value of the assets -Total Liabilities)</t>
  </si>
  <si>
    <t>Liquidation value per share (Liquidation value/ no. of equity shares)</t>
  </si>
  <si>
    <t>Liquidity Position (TCA/TCL)</t>
  </si>
  <si>
    <t>Total Current Assets/ Total Current Liabilities)</t>
  </si>
  <si>
    <t>Table 2.2: Statement of Profit and Loss &amp; its contents</t>
  </si>
  <si>
    <t>Revenue from operations (% of Total Income)</t>
  </si>
  <si>
    <t>Other income (% of Total Income)</t>
  </si>
  <si>
    <t>Material Expenses (% of Revenue from Operations)</t>
  </si>
  <si>
    <t>Employee benefit Exp. (% of Revenue from Operations)</t>
  </si>
  <si>
    <t>Finance Exp. (% of Revenue from Operations)</t>
  </si>
  <si>
    <t>D &amp; A Exp. (% of Revenue from Operations)</t>
  </si>
  <si>
    <t>Other Exp (% of Revenue from Operations)</t>
  </si>
  <si>
    <t>Total Expenses (% of Revenue from Operations)</t>
  </si>
  <si>
    <t>PBT (% OF Revenue from Operations)</t>
  </si>
  <si>
    <t>Total Tax Exp. (% of Revenue from Operations)</t>
  </si>
  <si>
    <t>PAT (% of Revenue from Operations)</t>
  </si>
  <si>
    <t>PBIT (PBT+ Finance Cost)</t>
  </si>
  <si>
    <t>PBIT (% of Revenue from Operations)</t>
  </si>
  <si>
    <t>Table 2.3: Analysis of Satement of Profit and Loss</t>
  </si>
  <si>
    <t>Growth in Revenue from Operations</t>
  </si>
  <si>
    <t>Growth in Net Income (PAT)</t>
  </si>
  <si>
    <t>Operating Profit (EBIT)</t>
  </si>
  <si>
    <t>Operating Profit Margin (EBIT/ Revenue from Operations)</t>
  </si>
  <si>
    <t>EBITDA (EBIT+ D&amp;A)</t>
  </si>
  <si>
    <t xml:space="preserve">EBITDA Margin </t>
  </si>
  <si>
    <t>Other income (% of PAT)</t>
  </si>
  <si>
    <t>ROI (PAT/Avg. Assets)</t>
  </si>
  <si>
    <t>Avg Assets (Current year Assets + Previous Year Assets)/2</t>
  </si>
  <si>
    <t>ROE (PAT/Avg Equity)</t>
  </si>
  <si>
    <t>Average Equity</t>
  </si>
  <si>
    <t>P/E (Price to Earnings) Ratio (MPS/EPS)</t>
  </si>
  <si>
    <t>P/S (Price to Sales) Ratio (MPS/Sales per Share)</t>
  </si>
  <si>
    <t>Sales per Share (Revenue from Operations/No. of Equity shares)</t>
  </si>
  <si>
    <t>Book Value = Total Equity/ No. of equity shares</t>
  </si>
  <si>
    <t>(₹ in Crores)</t>
  </si>
  <si>
    <t>Table 1.1: Balance Sheet of GRASIM INDUSTRIES LTD (India)</t>
  </si>
  <si>
    <t>Investment Property</t>
  </si>
  <si>
    <t>Goodwill</t>
  </si>
  <si>
    <t>Intangible Assets under Development</t>
  </si>
  <si>
    <t>Right of Use Assets</t>
  </si>
  <si>
    <t>Investment in Equity Accounted Investees</t>
  </si>
  <si>
    <t>Asset Held to Cover Linked Liabilities of Life Insurance Business</t>
  </si>
  <si>
    <t>Non-current Tax Assets (Net)</t>
  </si>
  <si>
    <t xml:space="preserve">Other Current Tax Assets </t>
  </si>
  <si>
    <t>Investments</t>
  </si>
  <si>
    <t>Cash and Cash Equivalents</t>
  </si>
  <si>
    <t xml:space="preserve">Investments </t>
  </si>
  <si>
    <t xml:space="preserve">  Investments of Insurance Business</t>
  </si>
  <si>
    <t xml:space="preserve">  Other Investments</t>
  </si>
  <si>
    <t>Bank Balances other than Cash and Cash Equivalents</t>
  </si>
  <si>
    <t>Non-Current Assets/ Disposal Group Held for Sale</t>
  </si>
  <si>
    <t>Equity Attributable to Owners of the Company</t>
  </si>
  <si>
    <t>Non-Controlling Interest</t>
  </si>
  <si>
    <t xml:space="preserve">  Lease Liabilities</t>
  </si>
  <si>
    <t xml:space="preserve">  Borrowings</t>
  </si>
  <si>
    <t xml:space="preserve">  Other Financial Liabilities</t>
  </si>
  <si>
    <t xml:space="preserve">  Policyholder's Liabilities</t>
  </si>
  <si>
    <t xml:space="preserve">  Supplier's Credit</t>
  </si>
  <si>
    <t xml:space="preserve">  Trade Payables</t>
  </si>
  <si>
    <t xml:space="preserve">  Other Current Liabilities</t>
  </si>
  <si>
    <t>Table 3.1: Statement of Cash Flows of Grasim Industries Ltd. (India)</t>
  </si>
  <si>
    <t>for the year ended                                                              (₹ in Crores)</t>
  </si>
  <si>
    <t>Table 2.1: Statement of Profit and Loss of Grasim Industries Ltd. (India)</t>
  </si>
  <si>
    <t>for the year ended                                                                      (₹ in Crores)</t>
  </si>
  <si>
    <t xml:space="preserve">Exceptional Items </t>
  </si>
  <si>
    <t>Total Tax Expenses</t>
  </si>
  <si>
    <t>Power and Fuel</t>
  </si>
  <si>
    <t>Freight and Handling Expenses</t>
  </si>
  <si>
    <t>Change in Valuation of Liability in respect of Insurance Policies</t>
  </si>
  <si>
    <t>Benefits Paid - Insurance Business</t>
  </si>
  <si>
    <t>Finance Cost relating to NBFC/HFC's Business</t>
  </si>
  <si>
    <t>Other Finance Costs</t>
  </si>
  <si>
    <t>Total Income (I)</t>
  </si>
  <si>
    <t>Total Expenses (II)</t>
  </si>
  <si>
    <t>Profit from Continuing Operations Before Share in Profit of (I - II)</t>
  </si>
  <si>
    <t>Equity Accounted Investees, Exceptional Items and Tax</t>
  </si>
  <si>
    <t>Share in Profit of Equity Accounted Investees</t>
  </si>
  <si>
    <t>Profit from Continuing Operations Before Tax and Exceptional Items</t>
  </si>
  <si>
    <t>Tax Expense of Continuing Operations (Net)</t>
  </si>
  <si>
    <t>Discontinued Operations</t>
  </si>
  <si>
    <t xml:space="preserve">  Profit Before Tax from Discontinued Operations</t>
  </si>
  <si>
    <t xml:space="preserve">  Exceptional Items</t>
  </si>
  <si>
    <t xml:space="preserve">  Tax Expenses of Discontinued Operations</t>
  </si>
  <si>
    <t xml:space="preserve">  Less: Reversal / (Provision) of Impairment of Assets Classified as Held for Sale</t>
  </si>
  <si>
    <t>Profit for the Year from Discontinued Operations (IV)</t>
  </si>
  <si>
    <t>Profit for the Year (V = III + IV)</t>
  </si>
  <si>
    <t>A (i) Items that will not be reclassified to Profit or Loss</t>
  </si>
  <si>
    <t>(ii) Income Tax relating to items that will not be reclassified to Profit or Loss</t>
  </si>
  <si>
    <t>B (i) Items that will be reclassified to Profit or Loss</t>
  </si>
  <si>
    <t>(ii) Income Tax relating to items that will be reclassified to Profit or Loss</t>
  </si>
  <si>
    <t>Other Comprehensive Income for the Year (VI)</t>
  </si>
  <si>
    <t>Total comprehensive income for the Year (V+VI)</t>
  </si>
  <si>
    <t>Profit from Continuing Operations Attributable to:</t>
  </si>
  <si>
    <t xml:space="preserve">  Owners of the Company</t>
  </si>
  <si>
    <t xml:space="preserve">  Non-Controlling Interest</t>
  </si>
  <si>
    <t>Profit Attributable to:</t>
  </si>
  <si>
    <t>Other Comprehensive Income Attributable to:</t>
  </si>
  <si>
    <t>Total Comprehensive Income Attributable to:</t>
  </si>
  <si>
    <t>Earnings Per Equity Share (Face Value D 2 each) - Continuing Operations</t>
  </si>
  <si>
    <t xml:space="preserve">  Basic (₹)</t>
  </si>
  <si>
    <t xml:space="preserve">  Diluted (₹)</t>
  </si>
  <si>
    <t>Earnings Per Equity Share (Face Value D 2 each) - Discontinued Operations</t>
  </si>
  <si>
    <t>Earnings Per Equity Share (Face Value D 2 each) - Continuing and Discontinued Operations</t>
  </si>
  <si>
    <t>A. Cash flow from Operating Activities:</t>
  </si>
  <si>
    <t>Profit Before Tax after Exceptional Items and before Share in Profit/(Loss) of Equity Accounted Investees</t>
  </si>
  <si>
    <t>Adjustments for Continuing Operations:</t>
  </si>
  <si>
    <t>Exceptional Items</t>
  </si>
  <si>
    <t>Finance Costs</t>
  </si>
  <si>
    <t>Interest Income</t>
  </si>
  <si>
    <t>Dividend Income</t>
  </si>
  <si>
    <t>Employee Stock Options and Stock Appreciation Rights Expenses</t>
  </si>
  <si>
    <t>Allowance for Credit Losses on Advances/Debts (Net)</t>
  </si>
  <si>
    <t>Changes in Valuation of Liabilities in respect of Insurance Policies in force</t>
  </si>
  <si>
    <t>Impairment on Financial Instruments</t>
  </si>
  <si>
    <t>Excess Provision Written Back (Net)</t>
  </si>
  <si>
    <t>Loss on Sale/Discard of Property, Plant and Equipment (Net)</t>
  </si>
  <si>
    <t>Profit on Sale of Investments (Net)</t>
  </si>
  <si>
    <t>Unrealised Gain and Fair Value Adjustments on Investments measured at Fair Value through Profit and Loss (Net)</t>
  </si>
  <si>
    <t>Unrealised Exchange (Gain)/Loss (Net)</t>
  </si>
  <si>
    <t>Gain on control establishment on Associate</t>
  </si>
  <si>
    <t>Fair Value Adjustments to Borrowings</t>
  </si>
  <si>
    <t>Other Non-Cash Items</t>
  </si>
  <si>
    <t>Gain on account of Fair Value of Investment in Aditya Birla Health Insurance Co. Limited on conversion from Subsidiary to Joint Venture (note 4.12.5)</t>
  </si>
  <si>
    <t>Operating Profit Before Working Capital Changes</t>
  </si>
  <si>
    <t>Loans of Financing Business</t>
  </si>
  <si>
    <t>Financial and Other Assets</t>
  </si>
  <si>
    <t>Trade Payables, Other Liabilities and Provision</t>
  </si>
  <si>
    <t>Investments of Life Insurance Policyholders</t>
  </si>
  <si>
    <t>Income Taxes Paid (Net of Refund)</t>
  </si>
  <si>
    <t>Net Cash generated from Operating Activities (A)</t>
  </si>
  <si>
    <t>B. Cash Flow from Investing Activities</t>
  </si>
  <si>
    <t>Purchase of Property, Plant and Equipment and other Intangible Assets</t>
  </si>
  <si>
    <t>Proceeds from Disposal of Property, Plant and Equipment</t>
  </si>
  <si>
    <t>Acquisition of Equity Shares in Subsidiaries</t>
  </si>
  <si>
    <t>Investments in Joint Ventures and Associates</t>
  </si>
  <si>
    <t>Sale of Mutual Fund Units, Shares and Bonds (Non-Current)</t>
  </si>
  <si>
    <t>Purchase of Mutual Fund Units, Shares and Bonds (Non-Current)</t>
  </si>
  <si>
    <t>Proceeds from (Purchase)/Sale of Investments and Shareholders' Investment of Life Insurance Business (Current) {Net}</t>
  </si>
  <si>
    <t>Proceeds on disposal of subsidiaries</t>
  </si>
  <si>
    <t>Purchase of Other Non-Current Investments</t>
  </si>
  <si>
    <t>Proceeds from Sale of Other Non-Current Investment</t>
  </si>
  <si>
    <t>Redemption/(Investment) in Other Bank Deposits</t>
  </si>
  <si>
    <t>Expenditure for Cost of Assets Transferred</t>
  </si>
  <si>
    <t>Loans and Advances given to other Companies</t>
  </si>
  <si>
    <t>Receipt against Loans and Advances given to Other Companies</t>
  </si>
  <si>
    <t>Loans and Advances Given to Joint Ventures and Associates</t>
  </si>
  <si>
    <t>Receipt Against Loans and Advances Given to Associates</t>
  </si>
  <si>
    <t>Dividend Received</t>
  </si>
  <si>
    <t>Net Cash Used in Investing Activities (B)</t>
  </si>
  <si>
    <t>C. Cash Flow from Financing Activities</t>
  </si>
  <si>
    <t>Proceeds from Issue of Share Capital under ESOP Scheme</t>
  </si>
  <si>
    <t>Treasury Shares Acquired by ESOP Trust</t>
  </si>
  <si>
    <t>Proceeds from Issue of Treasury Shares</t>
  </si>
  <si>
    <t>Equity Infusion by Minority Shareholders in Subsidiary Companies</t>
  </si>
  <si>
    <t>Transaction cost on equity shares of a Subsidiary Company and share Issue Expenses</t>
  </si>
  <si>
    <t>Proceeds from Non-Current Borrowings</t>
  </si>
  <si>
    <t>Repayment of Non-Current Borrowings</t>
  </si>
  <si>
    <t>Proceeds/(Repayments) of Current Borrowings (Net)</t>
  </si>
  <si>
    <t>Proceeds of Supplier's Credit</t>
  </si>
  <si>
    <t>Proceeds from Inter-Corporate Loans</t>
  </si>
  <si>
    <t>Repayment of Inter-Corporate Loans</t>
  </si>
  <si>
    <t>Repayment of Lease Liabilities (including Interest)</t>
  </si>
  <si>
    <t>Interest and Finance Charges Paid</t>
  </si>
  <si>
    <t>Dividend Paid</t>
  </si>
  <si>
    <t>Net Cash Used in Financing Activities</t>
  </si>
  <si>
    <t>D. Net Increase/(Decrease) in Cash and Cash Equivalents from Continuing Operations</t>
  </si>
  <si>
    <t>E. Net Cash Flow Transferred from Discontinued Operations to Continuing Operations</t>
  </si>
  <si>
    <t>F. Cash and Cash Equivalents as at the beginning of the Year from Continuing Operations</t>
  </si>
  <si>
    <t>G. Add: Cash and Cash Equivalents Received on acquisition of controlling Stake in Waacox</t>
  </si>
  <si>
    <t>H. Adjustment on account of conversion of Aditya Birla Health Insurance Co. Limited from Subsidiary to Joint Venture</t>
  </si>
  <si>
    <t>I. Add: Effect of Exchange Rate on Consolidation of Foreign Subsidiaries</t>
  </si>
  <si>
    <t>Cash and Cash Equivalents at the end of the Year from Continuing Operations</t>
  </si>
  <si>
    <t>J. Cash Flow from Discontinued Operations</t>
  </si>
  <si>
    <t>Opening Cash and Cash Equivalents</t>
  </si>
  <si>
    <t>Cash Flows generated from/(Used in) Operating Activities</t>
  </si>
  <si>
    <t>Cash Flows generated from/(Used in) Investing Activities</t>
  </si>
  <si>
    <t>Cash Flows generated from/(Used in) Financing Activities</t>
  </si>
  <si>
    <t>Proceeds from Divestment of Fertiliser Business</t>
  </si>
  <si>
    <t>Net Increase in Cash and Cash Equivalents from Discontinuing Operations</t>
  </si>
  <si>
    <t>Net Cash Flow Transferred from Discontinued Operations to Continuing Operations</t>
  </si>
  <si>
    <t>Cash and Cash Equivalents from Discontinued Operations</t>
  </si>
  <si>
    <t>Less: Reclassified to Assets Held for Sale</t>
  </si>
  <si>
    <t>Cash and Cash Equivalents at the end of the Year from Discontinued Operations</t>
  </si>
  <si>
    <t>K. Cash and Cash Equivalents at the end of the Year</t>
  </si>
  <si>
    <t>Liabilities directly associated with Non-Current Assets Held for Sale</t>
  </si>
  <si>
    <t>Investments in Treasury Shares Held by ESOP Trust</t>
  </si>
  <si>
    <t>Sale of Treasury Share Held by ESOP Trust</t>
  </si>
  <si>
    <t>Proceeds from Sale of Non-Current Equity Investment (Subsidiary)</t>
  </si>
  <si>
    <t xml:space="preserve">  Dividend paid to Non-Controlling Interest</t>
  </si>
  <si>
    <t xml:space="preserve">  Dividend Paid (including Corporate Dividend Tax)</t>
  </si>
  <si>
    <t>Unrealised Exchange loss</t>
  </si>
  <si>
    <t>Provision for Mines Restoration - (Release)/Charge</t>
  </si>
  <si>
    <t>Investments in Grasim Premium Fabrics Private Limited (earlier known as Soktas (India) Private Limited) (wholly owned Subsidiary)</t>
  </si>
  <si>
    <t>Contribution towards Liquidation Expenses of Idea Payment Bank Private Limited</t>
  </si>
  <si>
    <t>(Purchase)/Sale of Investments and Shareholders' Investment of Life Insurance Business (Current) {Net}</t>
  </si>
  <si>
    <t>Proceeds from sale of Non-Current Equity Investment (Joint Venture)</t>
  </si>
  <si>
    <t>Inter-Corporate Deposits</t>
  </si>
  <si>
    <t>Net cash inflows</t>
  </si>
  <si>
    <t>Cash and Cash Equivalents Received on acquisition of Ultratech Nathdwara Cement limited and transferred from Century Textiles Industries Limited on demerger of Cement business to UTCL{Note 4.12 (A) &amp; (B)}</t>
  </si>
  <si>
    <t>Cash and Cash Equivalents Received on acquisition of controlling Stake in Aditya Birla Renewables Limited and Aditya Birla Solar Limited {Note 4.12 (C)}</t>
  </si>
  <si>
    <t>No. of Equity Shares (in Crores)</t>
  </si>
  <si>
    <t>Profit from Continuing Operations Before Tax (PBT)</t>
  </si>
  <si>
    <t>Profit for the Year from Continuing Operations (III) (PAT)</t>
  </si>
  <si>
    <t>Current Assets:-</t>
  </si>
  <si>
    <t xml:space="preserve">     Other Financial Liabilities</t>
  </si>
  <si>
    <t>Name</t>
  </si>
  <si>
    <t>Roll No</t>
  </si>
  <si>
    <t>Course</t>
  </si>
  <si>
    <t>Mathukumilli Mounika Sai</t>
  </si>
  <si>
    <t>PGBA23006</t>
  </si>
  <si>
    <t>Business Analytics</t>
  </si>
  <si>
    <t>Company Assigned</t>
  </si>
  <si>
    <t>Grasim Industries Ltd</t>
  </si>
  <si>
    <t>Analysis of Statement of Cash Flows</t>
  </si>
  <si>
    <t>Check Point</t>
  </si>
  <si>
    <r>
      <t xml:space="preserve">1. Major source of cash inflow: </t>
    </r>
    <r>
      <rPr>
        <b/>
        <sz val="11"/>
        <color theme="1"/>
        <rFont val="Calibri"/>
        <family val="2"/>
        <scheme val="minor"/>
      </rPr>
      <t>Cash from Operations</t>
    </r>
  </si>
  <si>
    <t xml:space="preserve">2. Net cash investment in CapEx </t>
  </si>
  <si>
    <t>3. Is Net Cash Flow from Operations sufficient for cash required for Investing activity (Capex)?</t>
  </si>
  <si>
    <t>Yes</t>
  </si>
  <si>
    <t>4. Net cash flow from Operations required not only for investing activity but also for interest cost payment</t>
  </si>
  <si>
    <t xml:space="preserve">     Net cash investment in CapEx </t>
  </si>
  <si>
    <t xml:space="preserve">     Finance Cost (Interest cost)</t>
  </si>
  <si>
    <t>5. Is net cash flow from Operations sufficient for not only cash required for investing activity and interest cost payment but also for dividend payment?</t>
  </si>
  <si>
    <t xml:space="preserve">           Ans: </t>
  </si>
  <si>
    <t>No</t>
  </si>
  <si>
    <t xml:space="preserve">     Dividend Payment</t>
  </si>
  <si>
    <t>6. Is investment in Capex greater than depreciation and amortization?</t>
  </si>
  <si>
    <t xml:space="preserve">     Depreciation and Amortisation Expenses</t>
  </si>
  <si>
    <t>7. Free Cash Flows (FCF)</t>
  </si>
  <si>
    <r>
      <t>8. Net amount of working capital adjustments (</t>
    </r>
    <r>
      <rPr>
        <b/>
        <sz val="11"/>
        <color theme="1"/>
        <rFont val="Calibri"/>
        <family val="2"/>
        <scheme val="minor"/>
      </rPr>
      <t>NWC</t>
    </r>
    <r>
      <rPr>
        <sz val="11"/>
        <color theme="1"/>
        <rFont val="Calibri"/>
        <family val="2"/>
        <scheme val="minor"/>
      </rPr>
      <t>)</t>
    </r>
  </si>
  <si>
    <t>9. Quality of Profit</t>
  </si>
  <si>
    <t>Quality of Profit = Cash from Operations/PAT</t>
  </si>
  <si>
    <t>FCF = C - I</t>
  </si>
  <si>
    <t>I (net Fin Exp)</t>
  </si>
  <si>
    <t>C - I - i</t>
  </si>
  <si>
    <t>d (net dividend payout)</t>
  </si>
  <si>
    <t>Difference</t>
  </si>
  <si>
    <t xml:space="preserve">Change in Net working capital (Operating Assets) </t>
  </si>
  <si>
    <t>Treasurer Rule:</t>
  </si>
  <si>
    <t>C - I - I &gt; d</t>
  </si>
  <si>
    <t xml:space="preserve"> C - I - I &lt; d</t>
  </si>
  <si>
    <t xml:space="preserve">FCF = </t>
  </si>
  <si>
    <t>EBIT (1 - Tax) = NOPAT</t>
  </si>
  <si>
    <t>D&amp;A</t>
  </si>
  <si>
    <t>CapEX</t>
  </si>
  <si>
    <t>Change in WC</t>
  </si>
  <si>
    <t>FCF = NOPAT + D&amp;A-CapEX +/- Change in WC</t>
  </si>
  <si>
    <t>FCFE = C - I - i</t>
  </si>
  <si>
    <t>Value of F = Ve + Vd</t>
  </si>
  <si>
    <t>(Decrease) Trade Receivables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</si>
  <si>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Ans: </t>
    </r>
    <r>
      <rPr>
        <sz val="11"/>
        <color theme="1"/>
        <rFont val="Calibri"/>
        <family val="2"/>
        <scheme val="minor"/>
      </rPr>
      <t>Yes, Net Cash Investment in CapEx</t>
    </r>
  </si>
  <si>
    <t xml:space="preserve">Vertical Analysis (Common Size Analysis) of Balance Sheet </t>
  </si>
  <si>
    <t>(Each item as a % of Total Assets)</t>
  </si>
  <si>
    <t>%</t>
  </si>
  <si>
    <t xml:space="preserve">Other NCAs </t>
  </si>
  <si>
    <t xml:space="preserve">Total Non-CAs </t>
  </si>
  <si>
    <t>Cash &amp; Bank Balances</t>
  </si>
  <si>
    <t>Loans &amp; Advances</t>
  </si>
  <si>
    <t>Other FA</t>
  </si>
  <si>
    <t>Other CAs</t>
  </si>
  <si>
    <t>Total CAs</t>
  </si>
  <si>
    <t>Deferred Tax Liabilities</t>
  </si>
  <si>
    <t>Other NCLs</t>
  </si>
  <si>
    <t>Total NCLs</t>
  </si>
  <si>
    <t>Lease Liabilities</t>
  </si>
  <si>
    <t>Other FLs</t>
  </si>
  <si>
    <t>Other CLs</t>
  </si>
  <si>
    <t>Current Tax Liabilities</t>
  </si>
  <si>
    <t>Total CLs</t>
  </si>
  <si>
    <t>-</t>
  </si>
  <si>
    <t>Vertical (Common Size) Analysis of Statement of Profit and Loss</t>
  </si>
  <si>
    <t>(Each item as a % of Revenue from Operations)</t>
  </si>
  <si>
    <t>Items that will not be reclassified to Profit and Loss</t>
  </si>
  <si>
    <t>Earnings Per Equity Share attributable to the Owners of the Company</t>
  </si>
  <si>
    <t>Basic and Diluted EPS (of Re 1/- each) (INR)</t>
  </si>
  <si>
    <t xml:space="preserve">Significant Accounting Policies </t>
  </si>
  <si>
    <t>The accompanying notes are an integral part of these financial statements.</t>
  </si>
  <si>
    <t xml:space="preserve">Profit for the year (III) (PAT) </t>
  </si>
  <si>
    <t xml:space="preserve">Total comprehensive income for the period 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</si>
  <si>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</si>
  <si>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</si>
  <si>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</si>
  <si>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 xml:space="preserve">Horizontal (Comparative) Analysis of Balance Sheet </t>
  </si>
  <si>
    <t>(Base Year March, 2019) Each item as a % of its March 2019 amount)</t>
  </si>
  <si>
    <t>A/c Receivables</t>
  </si>
  <si>
    <t>Horizontal (Comparative) Analysis of Statement of Profit and Loss</t>
  </si>
  <si>
    <t xml:space="preserve"> Exceptional Items </t>
  </si>
  <si>
    <t xml:space="preserve">Profit Before Tax </t>
  </si>
  <si>
    <t xml:space="preserve">Profit for the year (PAT) </t>
  </si>
  <si>
    <t xml:space="preserve">Profit/(Loss) before Exceptional Items &amp; Tax </t>
  </si>
  <si>
    <t>Financial Statement Analysis: Ratio Analysis</t>
  </si>
  <si>
    <t>DuPont Analysis - Drivers of Profitability (ROE)</t>
  </si>
  <si>
    <t>Unit of Measure</t>
  </si>
  <si>
    <t xml:space="preserve">March 31, 2022 </t>
  </si>
  <si>
    <t xml:space="preserve">March 31, 2021 </t>
  </si>
  <si>
    <t xml:space="preserve">March 31, 2020 </t>
  </si>
  <si>
    <t xml:space="preserve">March 31, 2019 </t>
  </si>
  <si>
    <t>Sl. No.</t>
  </si>
  <si>
    <t>(A) Profitability Ratios</t>
  </si>
  <si>
    <t>ROE</t>
  </si>
  <si>
    <t>Net Income Margin (PAT/Revenue from Operations)</t>
  </si>
  <si>
    <t>Drivers of ROE</t>
  </si>
  <si>
    <t>Return on Assets (ROA) or ROI (PAT/Avg. TA)</t>
  </si>
  <si>
    <t>ROA</t>
  </si>
  <si>
    <t>Return on Networth/Equity (ROE) (PAT/ Avg. Equity)</t>
  </si>
  <si>
    <t>Leverage</t>
  </si>
  <si>
    <t>Times</t>
  </si>
  <si>
    <t>EBIT Margin (EBIT/Revenue from Operations)</t>
  </si>
  <si>
    <t>Drivers of ROA</t>
  </si>
  <si>
    <t>EBITDA Margin (EBITDA/Revenue from Operations)</t>
  </si>
  <si>
    <t>Efficiency of Total Assets</t>
  </si>
  <si>
    <t>Return on Capital Employed (ROCE) (EBIT/Avg. CE)</t>
  </si>
  <si>
    <t>Net Income Margin</t>
  </si>
  <si>
    <t>Drivers of Net Income</t>
  </si>
  <si>
    <t>(B) Efficiency Analysis</t>
  </si>
  <si>
    <t>Material Expense (% Revenue from Operations)</t>
  </si>
  <si>
    <t xml:space="preserve">Efficiency of Total Assets (Net Sales/Avg. TA) </t>
  </si>
  <si>
    <t>Labour Expense (% Revenue from Operations)</t>
  </si>
  <si>
    <t>Efficiency of Non-current Assets/Net Fixed Assets (Net Sales/Avg.NFA)</t>
  </si>
  <si>
    <t>Depreciation and Amortization (% Revenue from Operations)</t>
  </si>
  <si>
    <t>Efficiency of Current Assets (Net Sales/Avg. CA)</t>
  </si>
  <si>
    <t>Other Expenses (% Revenue from Operations)</t>
  </si>
  <si>
    <t>Inventory Efficiency Ratio (Net Sales/Avg. Inventory)</t>
  </si>
  <si>
    <t>Finance Expense (% Revenue from Operations)</t>
  </si>
  <si>
    <t>Inventory-Holding Days (365/ITR)</t>
  </si>
  <si>
    <t>Days</t>
  </si>
  <si>
    <t>Tax Expense (% Revenue from Operations)</t>
  </si>
  <si>
    <t>Accounts Recevables (A/R) Efficiency (Net Sales/Avg. TR)</t>
  </si>
  <si>
    <t>Drivers of Efficiency of Total Assets</t>
  </si>
  <si>
    <t>Accounts Recevables (A/R) Collection Days (365/DTR)</t>
  </si>
  <si>
    <t>Efficiency of Current Assets</t>
  </si>
  <si>
    <t>Accounts Payables (A/P) Efficiency Ratio</t>
  </si>
  <si>
    <t>Efficiency of Non-current Assets</t>
  </si>
  <si>
    <t>Payables Payment Days (365/APTR)</t>
  </si>
  <si>
    <t>Drivers of Efficiency of Non-current Assets</t>
  </si>
  <si>
    <t xml:space="preserve">Cash Conversion Cycle (CCC) </t>
  </si>
  <si>
    <t>PPE (Net Sales/PPE)</t>
  </si>
  <si>
    <t>(CCC = Inventory Holding days + Receivables Collection Days - Payables Payment Days)</t>
  </si>
  <si>
    <t>Intangible Assets (Net Sales/Intangible Assets)</t>
  </si>
  <si>
    <t>Operating Cycle</t>
  </si>
  <si>
    <t>Drivers of Efficiency of Current Assets</t>
  </si>
  <si>
    <t>(C) Liquidity Analysis</t>
  </si>
  <si>
    <t>Inventory</t>
  </si>
  <si>
    <t>Current Ratio (CA/CL)</t>
  </si>
  <si>
    <t>Accounts Recevables (A/R)</t>
  </si>
  <si>
    <t>Quick Ratio (QA/CL)</t>
  </si>
  <si>
    <t>Inventory-Holding Days</t>
  </si>
  <si>
    <t>Accounts Recevables (A/R) Collection Days</t>
  </si>
  <si>
    <t>(D) Solvency Analysis</t>
  </si>
  <si>
    <t>Leverage (TA/SHF) Ratio</t>
  </si>
  <si>
    <t>Debt to Equity Ratio (Total Liabilities/Equity)</t>
  </si>
  <si>
    <t>Debt to Equity Ratio (LT Debt/Equity)</t>
  </si>
  <si>
    <t>Interest Coverage Ratio (EBIT/Finance Cost)</t>
  </si>
  <si>
    <t>Leverage (Avg. TA/Avg. SHF) Ratio</t>
  </si>
  <si>
    <t>(E) Valuation Ratios</t>
  </si>
  <si>
    <t>Price Earning (P/E) Ratio</t>
  </si>
  <si>
    <t>Price to Book Value ( P/BV)  Ratio</t>
  </si>
  <si>
    <t>Price to Sales (P/S) Ratio</t>
  </si>
  <si>
    <t>Dividend Yield (DPS/MPS) Ratio</t>
  </si>
  <si>
    <t>Average Total Assets</t>
  </si>
  <si>
    <t>Average Networth (Equity)</t>
  </si>
  <si>
    <t xml:space="preserve">EBIT (Operating Profit) </t>
  </si>
  <si>
    <r>
      <rPr>
        <b/>
        <sz val="11"/>
        <color theme="1"/>
        <rFont val="Calibri"/>
        <family val="2"/>
        <scheme val="minor"/>
      </rPr>
      <t xml:space="preserve">EBIT </t>
    </r>
    <r>
      <rPr>
        <sz val="11"/>
        <color theme="1"/>
        <rFont val="Calibri"/>
        <family val="2"/>
        <scheme val="minor"/>
      </rPr>
      <t>(PAT - Other Income + Finance Cost + Tax -/+ Exceptional Items) or (Revenue from Operations - Total Exp. + Finance Cost)</t>
    </r>
  </si>
  <si>
    <t>EBITDA (EBIT + D&amp;A)</t>
  </si>
  <si>
    <t>Capital Employed (CE)  = (TA-CL)</t>
  </si>
  <si>
    <t>Average Capital Employed</t>
  </si>
  <si>
    <t>Average Non-current Assets</t>
  </si>
  <si>
    <t>Average Current Assets</t>
  </si>
  <si>
    <t>Average Inventory</t>
  </si>
  <si>
    <t>Average Trade Receivables</t>
  </si>
  <si>
    <t xml:space="preserve">Average Trade Payables </t>
  </si>
  <si>
    <t>Cost of Inventory</t>
  </si>
  <si>
    <t xml:space="preserve">Payables Payment Days (365/APTR) </t>
  </si>
  <si>
    <t>No. of Equity Shares (in Lakhs)</t>
  </si>
  <si>
    <t>P/B Ratio</t>
  </si>
  <si>
    <t>EPS</t>
  </si>
  <si>
    <t>Dividend Payout Ratio</t>
  </si>
  <si>
    <t>Growth Firm</t>
  </si>
  <si>
    <t>R &gt; Ke</t>
  </si>
  <si>
    <t>R= Ke</t>
  </si>
  <si>
    <t>Tax Rate (%)</t>
  </si>
  <si>
    <t>Dividend Paid (Rs in Lakhs)</t>
  </si>
  <si>
    <t>(DPS is Rs 39. i.e., First Interim Dividend of Rs.18/- per share on October 20, 2022 + Second Interim Dividend for the FY 2022-23 of Rs. 21/- per share on May 12,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</si>
</sst>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#,##0.0"/>
    <numFmt numFmtId="168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11"/>
      <name val="Calibri"/>
      <family val="2"/>
      <scheme val="minor"/>
    </font>
    <font>
      <sz val="11"/>
      <color rgb="FF232A31"/>
      <name val="Calibri"/>
      <family val="2"/>
      <scheme val="minor"/>
    </font>
    <font>
      <sz val="11"/>
      <color theme="1"/>
      <name val="Calibri"/>
      <family val="2"/>
    </font>
    <font>
      <sz val="11"/>
      <color rgb="FF000099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0000CC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1" fillId="4" borderId="6" xfId="0" applyFont="1" applyFill="1" applyBorder="1"/>
    <xf numFmtId="0" fontId="0" fillId="0" borderId="6" xfId="0" applyBorder="1"/>
    <xf numFmtId="3" fontId="0" fillId="0" borderId="0" xfId="0" applyNumberFormat="1"/>
    <xf numFmtId="0" fontId="0" fillId="0" borderId="0" xfId="0" applyAlignment="1">
      <alignment horizontal="center"/>
    </xf>
    <xf numFmtId="0" fontId="1" fillId="3" borderId="6" xfId="0" applyFont="1" applyFill="1" applyBorder="1"/>
    <xf numFmtId="0" fontId="1" fillId="0" borderId="6" xfId="0" applyFont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 wrapText="1"/>
    </xf>
    <xf numFmtId="0" fontId="3" fillId="0" borderId="8" xfId="0" applyFont="1" applyBorder="1"/>
    <xf numFmtId="0" fontId="0" fillId="0" borderId="2" xfId="0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0" fillId="0" borderId="4" xfId="0" applyBorder="1"/>
    <xf numFmtId="3" fontId="0" fillId="0" borderId="4" xfId="0" applyNumberFormat="1" applyBorder="1"/>
    <xf numFmtId="3" fontId="0" fillId="0" borderId="4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1" fillId="0" borderId="3" xfId="0" applyNumberFormat="1" applyFont="1" applyBorder="1"/>
    <xf numFmtId="0" fontId="1" fillId="0" borderId="3" xfId="0" applyFont="1" applyBorder="1" applyAlignment="1">
      <alignment horizontal="center" vertical="center" wrapText="1"/>
    </xf>
    <xf numFmtId="3" fontId="0" fillId="0" borderId="6" xfId="0" applyNumberFormat="1" applyBorder="1"/>
    <xf numFmtId="3" fontId="1" fillId="0" borderId="1" xfId="0" applyNumberFormat="1" applyFont="1" applyBorder="1"/>
    <xf numFmtId="0" fontId="0" fillId="0" borderId="16" xfId="0" applyBorder="1"/>
    <xf numFmtId="3" fontId="0" fillId="0" borderId="5" xfId="0" applyNumberFormat="1" applyBorder="1"/>
    <xf numFmtId="3" fontId="0" fillId="0" borderId="7" xfId="0" applyNumberFormat="1" applyBorder="1"/>
    <xf numFmtId="0" fontId="1" fillId="0" borderId="17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/>
    <xf numFmtId="0" fontId="5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4" fontId="1" fillId="0" borderId="4" xfId="0" applyNumberFormat="1" applyFont="1" applyBorder="1"/>
    <xf numFmtId="0" fontId="1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/>
    <xf numFmtId="3" fontId="1" fillId="0" borderId="6" xfId="0" applyNumberFormat="1" applyFont="1" applyBorder="1"/>
    <xf numFmtId="3" fontId="1" fillId="2" borderId="16" xfId="0" applyNumberFormat="1" applyFont="1" applyFill="1" applyBorder="1"/>
    <xf numFmtId="3" fontId="1" fillId="0" borderId="16" xfId="0" applyNumberFormat="1" applyFont="1" applyBorder="1"/>
    <xf numFmtId="0" fontId="0" fillId="0" borderId="4" xfId="0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1" fillId="0" borderId="4" xfId="0" applyNumberFormat="1" applyFont="1" applyBorder="1"/>
    <xf numFmtId="3" fontId="1" fillId="0" borderId="0" xfId="0" applyNumberFormat="1" applyFont="1"/>
    <xf numFmtId="0" fontId="0" fillId="0" borderId="16" xfId="0" applyBorder="1" applyAlignment="1">
      <alignment horizontal="center"/>
    </xf>
    <xf numFmtId="2" fontId="0" fillId="0" borderId="0" xfId="0" applyNumberFormat="1"/>
    <xf numFmtId="10" fontId="0" fillId="0" borderId="0" xfId="1" applyNumberFormat="1" applyFont="1"/>
    <xf numFmtId="3" fontId="0" fillId="0" borderId="0" xfId="0" applyNumberFormat="1" applyAlignment="1">
      <alignment horizontal="center"/>
    </xf>
    <xf numFmtId="165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2" xfId="0" applyNumberFormat="1" applyBorder="1" applyAlignment="1">
      <alignment horizontal="right"/>
    </xf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9" fontId="0" fillId="0" borderId="1" xfId="1" applyFont="1" applyBorder="1"/>
    <xf numFmtId="10" fontId="0" fillId="0" borderId="1" xfId="1" applyNumberFormat="1" applyFont="1" applyBorder="1"/>
    <xf numFmtId="10" fontId="1" fillId="6" borderId="0" xfId="0" applyNumberFormat="1" applyFont="1" applyFill="1"/>
    <xf numFmtId="10" fontId="1" fillId="6" borderId="1" xfId="1" applyNumberFormat="1" applyFont="1" applyFill="1" applyBorder="1"/>
    <xf numFmtId="0" fontId="1" fillId="7" borderId="6" xfId="0" applyFont="1" applyFill="1" applyBorder="1"/>
    <xf numFmtId="10" fontId="1" fillId="7" borderId="1" xfId="1" applyNumberFormat="1" applyFont="1" applyFill="1" applyBorder="1"/>
    <xf numFmtId="0" fontId="1" fillId="8" borderId="0" xfId="0" applyFont="1" applyFill="1"/>
    <xf numFmtId="0" fontId="1" fillId="9" borderId="0" xfId="0" applyFont="1" applyFill="1"/>
    <xf numFmtId="0" fontId="1" fillId="4" borderId="0" xfId="0" applyFont="1" applyFill="1"/>
    <xf numFmtId="2" fontId="1" fillId="4" borderId="0" xfId="0" applyNumberFormat="1" applyFont="1" applyFill="1"/>
    <xf numFmtId="3" fontId="1" fillId="8" borderId="0" xfId="0" applyNumberFormat="1" applyFont="1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10" fontId="1" fillId="0" borderId="1" xfId="1" applyNumberFormat="1" applyFont="1" applyBorder="1"/>
    <xf numFmtId="10" fontId="1" fillId="2" borderId="1" xfId="1" applyNumberFormat="1" applyFont="1" applyFill="1" applyBorder="1"/>
    <xf numFmtId="3" fontId="0" fillId="0" borderId="1" xfId="0" applyNumberFormat="1" applyBorder="1"/>
    <xf numFmtId="2" fontId="0" fillId="0" borderId="1" xfId="0" applyNumberFormat="1" applyBorder="1"/>
    <xf numFmtId="4" fontId="0" fillId="0" borderId="7" xfId="0" applyNumberFormat="1" applyBorder="1"/>
    <xf numFmtId="4" fontId="0" fillId="0" borderId="4" xfId="0" applyNumberFormat="1" applyBorder="1"/>
    <xf numFmtId="4" fontId="0" fillId="0" borderId="7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5" xfId="0" applyNumberFormat="1" applyBorder="1"/>
    <xf numFmtId="4" fontId="0" fillId="0" borderId="6" xfId="0" applyNumberFormat="1" applyBorder="1"/>
    <xf numFmtId="4" fontId="0" fillId="0" borderId="13" xfId="0" applyNumberFormat="1" applyBorder="1"/>
    <xf numFmtId="4" fontId="0" fillId="0" borderId="9" xfId="0" applyNumberFormat="1" applyBorder="1"/>
    <xf numFmtId="4" fontId="0" fillId="0" borderId="15" xfId="0" applyNumberFormat="1" applyBorder="1"/>
    <xf numFmtId="4" fontId="0" fillId="0" borderId="17" xfId="0" applyNumberFormat="1" applyBorder="1"/>
    <xf numFmtId="4" fontId="0" fillId="0" borderId="1" xfId="0" applyNumberFormat="1" applyBorder="1"/>
    <xf numFmtId="4" fontId="1" fillId="0" borderId="17" xfId="0" applyNumberFormat="1" applyFont="1" applyBorder="1"/>
    <xf numFmtId="4" fontId="1" fillId="0" borderId="1" xfId="0" applyNumberFormat="1" applyFont="1" applyBorder="1"/>
    <xf numFmtId="4" fontId="0" fillId="0" borderId="10" xfId="0" applyNumberFormat="1" applyBorder="1"/>
    <xf numFmtId="4" fontId="1" fillId="5" borderId="17" xfId="0" applyNumberFormat="1" applyFont="1" applyFill="1" applyBorder="1"/>
    <xf numFmtId="4" fontId="1" fillId="5" borderId="1" xfId="0" applyNumberFormat="1" applyFont="1" applyFill="1" applyBorder="1"/>
    <xf numFmtId="4" fontId="0" fillId="0" borderId="8" xfId="0" applyNumberFormat="1" applyBorder="1"/>
    <xf numFmtId="4" fontId="1" fillId="0" borderId="7" xfId="0" applyNumberFormat="1" applyFont="1" applyBorder="1"/>
    <xf numFmtId="4" fontId="1" fillId="5" borderId="11" xfId="0" applyNumberFormat="1" applyFont="1" applyFill="1" applyBorder="1"/>
    <xf numFmtId="4" fontId="1" fillId="2" borderId="1" xfId="0" applyNumberFormat="1" applyFont="1" applyFill="1" applyBorder="1"/>
    <xf numFmtId="4" fontId="0" fillId="0" borderId="16" xfId="0" applyNumberFormat="1" applyBorder="1"/>
    <xf numFmtId="4" fontId="1" fillId="2" borderId="17" xfId="0" applyNumberFormat="1" applyFont="1" applyFill="1" applyBorder="1"/>
    <xf numFmtId="4" fontId="1" fillId="2" borderId="10" xfId="0" applyNumberFormat="1" applyFont="1" applyFill="1" applyBorder="1"/>
    <xf numFmtId="4" fontId="1" fillId="2" borderId="3" xfId="0" applyNumberFormat="1" applyFont="1" applyFill="1" applyBorder="1"/>
    <xf numFmtId="3" fontId="7" fillId="0" borderId="4" xfId="0" applyNumberFormat="1" applyFont="1" applyBorder="1"/>
    <xf numFmtId="3" fontId="7" fillId="0" borderId="0" xfId="0" applyNumberFormat="1" applyFont="1"/>
    <xf numFmtId="3" fontId="1" fillId="0" borderId="7" xfId="0" applyNumberFormat="1" applyFont="1" applyBorder="1"/>
    <xf numFmtId="0" fontId="8" fillId="0" borderId="4" xfId="0" applyFont="1" applyBorder="1"/>
    <xf numFmtId="10" fontId="1" fillId="0" borderId="1" xfId="1" applyNumberFormat="1" applyFont="1" applyFill="1" applyBorder="1"/>
    <xf numFmtId="0" fontId="6" fillId="0" borderId="5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" fillId="0" borderId="16" xfId="0" applyFont="1" applyBorder="1"/>
    <xf numFmtId="4" fontId="0" fillId="0" borderId="0" xfId="0" applyNumberFormat="1" applyAlignment="1">
      <alignment horizontal="right"/>
    </xf>
    <xf numFmtId="4" fontId="1" fillId="0" borderId="3" xfId="0" applyNumberFormat="1" applyFont="1" applyBorder="1"/>
    <xf numFmtId="4" fontId="1" fillId="0" borderId="10" xfId="0" applyNumberFormat="1" applyFont="1" applyBorder="1"/>
    <xf numFmtId="0" fontId="1" fillId="0" borderId="8" xfId="0" applyFont="1" applyBorder="1"/>
    <xf numFmtId="4" fontId="1" fillId="5" borderId="12" xfId="0" applyNumberFormat="1" applyFont="1" applyFill="1" applyBorder="1"/>
    <xf numFmtId="4" fontId="0" fillId="0" borderId="3" xfId="0" applyNumberFormat="1" applyBorder="1"/>
    <xf numFmtId="4" fontId="8" fillId="0" borderId="3" xfId="0" applyNumberFormat="1" applyFont="1" applyBorder="1"/>
    <xf numFmtId="4" fontId="8" fillId="0" borderId="1" xfId="0" applyNumberFormat="1" applyFont="1" applyBorder="1"/>
    <xf numFmtId="4" fontId="8" fillId="0" borderId="4" xfId="0" applyNumberFormat="1" applyFont="1" applyBorder="1"/>
    <xf numFmtId="4" fontId="6" fillId="0" borderId="4" xfId="0" applyNumberFormat="1" applyFont="1" applyBorder="1"/>
    <xf numFmtId="4" fontId="0" fillId="0" borderId="5" xfId="0" applyNumberFormat="1" applyBorder="1" applyAlignment="1">
      <alignment horizontal="right"/>
    </xf>
    <xf numFmtId="4" fontId="8" fillId="0" borderId="7" xfId="0" applyNumberFormat="1" applyFont="1" applyBorder="1"/>
    <xf numFmtId="3" fontId="7" fillId="0" borderId="7" xfId="0" applyNumberFormat="1" applyFont="1" applyBorder="1"/>
    <xf numFmtId="4" fontId="6" fillId="0" borderId="7" xfId="0" applyNumberFormat="1" applyFont="1" applyBorder="1"/>
    <xf numFmtId="3" fontId="7" fillId="0" borderId="16" xfId="0" applyNumberFormat="1" applyFont="1" applyBorder="1"/>
    <xf numFmtId="4" fontId="0" fillId="0" borderId="4" xfId="0" applyNumberFormat="1" applyBorder="1" applyAlignment="1">
      <alignment horizontal="right"/>
    </xf>
    <xf numFmtId="1" fontId="0" fillId="0" borderId="4" xfId="0" applyNumberFormat="1" applyBorder="1"/>
    <xf numFmtId="4" fontId="7" fillId="0" borderId="1" xfId="0" applyNumberFormat="1" applyFont="1" applyBorder="1"/>
    <xf numFmtId="166" fontId="0" fillId="0" borderId="0" xfId="0" applyNumberFormat="1"/>
    <xf numFmtId="166" fontId="0" fillId="0" borderId="4" xfId="0" applyNumberFormat="1" applyBorder="1"/>
    <xf numFmtId="2" fontId="0" fillId="0" borderId="4" xfId="0" applyNumberFormat="1" applyBorder="1"/>
    <xf numFmtId="2" fontId="1" fillId="0" borderId="10" xfId="0" applyNumberFormat="1" applyFont="1" applyBorder="1"/>
    <xf numFmtId="2" fontId="1" fillId="0" borderId="1" xfId="0" applyNumberFormat="1" applyFont="1" applyBorder="1"/>
    <xf numFmtId="3" fontId="0" fillId="0" borderId="16" xfId="0" applyNumberFormat="1" applyBorder="1"/>
    <xf numFmtId="10" fontId="1" fillId="9" borderId="1" xfId="1" applyNumberFormat="1" applyFont="1" applyFill="1" applyBorder="1"/>
    <xf numFmtId="0" fontId="1" fillId="9" borderId="5" xfId="0" applyFont="1" applyFill="1" applyBorder="1"/>
    <xf numFmtId="0" fontId="1" fillId="9" borderId="1" xfId="0" applyFont="1" applyFill="1" applyBorder="1"/>
    <xf numFmtId="10" fontId="4" fillId="9" borderId="1" xfId="1" applyNumberFormat="1" applyFont="1" applyFill="1" applyBorder="1"/>
    <xf numFmtId="0" fontId="0" fillId="9" borderId="1" xfId="0" applyFill="1" applyBorder="1"/>
    <xf numFmtId="3" fontId="0" fillId="0" borderId="3" xfId="0" applyNumberFormat="1" applyBorder="1"/>
    <xf numFmtId="4" fontId="9" fillId="10" borderId="2" xfId="0" applyNumberFormat="1" applyFont="1" applyFill="1" applyBorder="1" applyAlignment="1">
      <alignment horizontal="right" vertical="center"/>
    </xf>
    <xf numFmtId="4" fontId="9" fillId="0" borderId="2" xfId="0" applyNumberFormat="1" applyFont="1" applyBorder="1"/>
    <xf numFmtId="4" fontId="9" fillId="10" borderId="10" xfId="0" applyNumberFormat="1" applyFont="1" applyFill="1" applyBorder="1" applyAlignment="1">
      <alignment horizontal="right" vertical="center"/>
    </xf>
    <xf numFmtId="0" fontId="9" fillId="10" borderId="18" xfId="0" applyFont="1" applyFill="1" applyBorder="1" applyAlignment="1">
      <alignment horizontal="right" vertic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2" fontId="0" fillId="0" borderId="7" xfId="0" applyNumberFormat="1" applyBorder="1"/>
    <xf numFmtId="0" fontId="10" fillId="0" borderId="6" xfId="0" applyFont="1" applyBorder="1"/>
    <xf numFmtId="0" fontId="10" fillId="0" borderId="4" xfId="0" applyFont="1" applyBorder="1"/>
    <xf numFmtId="0" fontId="0" fillId="0" borderId="8" xfId="0" applyBorder="1"/>
    <xf numFmtId="167" fontId="0" fillId="0" borderId="4" xfId="0" applyNumberFormat="1" applyBorder="1"/>
    <xf numFmtId="0" fontId="0" fillId="2" borderId="4" xfId="0" applyFill="1" applyBorder="1"/>
    <xf numFmtId="3" fontId="0" fillId="2" borderId="4" xfId="0" applyNumberFormat="1" applyFill="1" applyBorder="1"/>
    <xf numFmtId="3" fontId="1" fillId="9" borderId="4" xfId="0" applyNumberFormat="1" applyFont="1" applyFill="1" applyBorder="1"/>
    <xf numFmtId="0" fontId="1" fillId="0" borderId="4" xfId="0" applyFont="1" applyBorder="1" applyAlignment="1">
      <alignment horizontal="center"/>
    </xf>
    <xf numFmtId="10" fontId="0" fillId="0" borderId="6" xfId="1" applyNumberFormat="1" applyFont="1" applyBorder="1"/>
    <xf numFmtId="10" fontId="0" fillId="0" borderId="4" xfId="1" applyNumberFormat="1" applyFont="1" applyBorder="1"/>
    <xf numFmtId="10" fontId="0" fillId="0" borderId="5" xfId="1" applyNumberFormat="1" applyFont="1" applyBorder="1"/>
    <xf numFmtId="10" fontId="1" fillId="0" borderId="3" xfId="1" applyNumberFormat="1" applyFont="1" applyBorder="1"/>
    <xf numFmtId="0" fontId="1" fillId="3" borderId="1" xfId="0" applyFont="1" applyFill="1" applyBorder="1"/>
    <xf numFmtId="10" fontId="1" fillId="3" borderId="3" xfId="1" applyNumberFormat="1" applyFont="1" applyFill="1" applyBorder="1"/>
    <xf numFmtId="10" fontId="1" fillId="2" borderId="3" xfId="1" applyNumberFormat="1" applyFont="1" applyFill="1" applyBorder="1"/>
    <xf numFmtId="0" fontId="0" fillId="9" borderId="4" xfId="0" applyFill="1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10" fontId="1" fillId="0" borderId="13" xfId="1" applyNumberFormat="1" applyFont="1" applyBorder="1"/>
    <xf numFmtId="10" fontId="0" fillId="0" borderId="4" xfId="0" applyNumberFormat="1" applyBorder="1"/>
    <xf numFmtId="0" fontId="0" fillId="0" borderId="4" xfId="0" applyBorder="1" applyAlignment="1">
      <alignment horizontal="left"/>
    </xf>
    <xf numFmtId="0" fontId="0" fillId="9" borderId="4" xfId="0" applyFill="1" applyBorder="1" applyAlignment="1">
      <alignment horizontal="center"/>
    </xf>
    <xf numFmtId="3" fontId="0" fillId="9" borderId="0" xfId="0" applyNumberFormat="1" applyFill="1"/>
    <xf numFmtId="3" fontId="0" fillId="9" borderId="6" xfId="0" applyNumberFormat="1" applyFill="1" applyBorder="1"/>
    <xf numFmtId="3" fontId="0" fillId="9" borderId="4" xfId="0" applyNumberFormat="1" applyFill="1" applyBorder="1"/>
    <xf numFmtId="10" fontId="0" fillId="9" borderId="1" xfId="0" applyNumberFormat="1" applyFill="1" applyBorder="1" applyAlignment="1">
      <alignment horizontal="left" vertical="center" wrapText="1"/>
    </xf>
    <xf numFmtId="10" fontId="0" fillId="9" borderId="1" xfId="1" applyNumberFormat="1" applyFont="1" applyFill="1" applyBorder="1" applyAlignment="1">
      <alignment horizontal="left"/>
    </xf>
    <xf numFmtId="4" fontId="0" fillId="9" borderId="7" xfId="0" applyNumberFormat="1" applyFill="1" applyBorder="1"/>
    <xf numFmtId="4" fontId="0" fillId="9" borderId="0" xfId="0" applyNumberFormat="1" applyFill="1"/>
    <xf numFmtId="0" fontId="0" fillId="9" borderId="0" xfId="0" applyFill="1"/>
    <xf numFmtId="4" fontId="0" fillId="9" borderId="1" xfId="0" applyNumberFormat="1" applyFill="1" applyBorder="1"/>
    <xf numFmtId="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3" fontId="0" fillId="9" borderId="1" xfId="0" applyNumberFormat="1" applyFill="1" applyBorder="1"/>
    <xf numFmtId="10" fontId="0" fillId="0" borderId="4" xfId="0" applyNumberFormat="1" applyBorder="1" applyAlignment="1">
      <alignment horizontal="left"/>
    </xf>
    <xf numFmtId="10" fontId="0" fillId="0" borderId="6" xfId="1" applyNumberFormat="1" applyFont="1" applyBorder="1" applyAlignment="1">
      <alignment horizontal="left"/>
    </xf>
    <xf numFmtId="10" fontId="0" fillId="9" borderId="1" xfId="1" applyNumberFormat="1" applyFont="1" applyFill="1" applyBorder="1"/>
    <xf numFmtId="0" fontId="0" fillId="9" borderId="6" xfId="0" applyFill="1" applyBorder="1"/>
    <xf numFmtId="4" fontId="0" fillId="9" borderId="4" xfId="0" applyNumberFormat="1" applyFill="1" applyBorder="1"/>
    <xf numFmtId="3" fontId="0" fillId="9" borderId="7" xfId="0" applyNumberFormat="1" applyFill="1" applyBorder="1"/>
    <xf numFmtId="10" fontId="0" fillId="0" borderId="4" xfId="1" applyNumberFormat="1" applyFont="1" applyBorder="1" applyAlignment="1">
      <alignment horizontal="left"/>
    </xf>
    <xf numFmtId="10" fontId="0" fillId="0" borderId="6" xfId="0" applyNumberFormat="1" applyBorder="1" applyAlignment="1">
      <alignment horizontal="left"/>
    </xf>
    <xf numFmtId="10" fontId="0" fillId="0" borderId="4" xfId="0" applyNumberFormat="1" applyBorder="1" applyAlignment="1">
      <alignment horizontal="center"/>
    </xf>
    <xf numFmtId="10" fontId="1" fillId="0" borderId="3" xfId="1" applyNumberFormat="1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0" fillId="9" borderId="7" xfId="0" applyFill="1" applyBorder="1"/>
    <xf numFmtId="0" fontId="0" fillId="9" borderId="6" xfId="0" applyFill="1" applyBorder="1" applyAlignment="1">
      <alignment wrapText="1"/>
    </xf>
    <xf numFmtId="0" fontId="0" fillId="9" borderId="6" xfId="0" applyFill="1" applyBorder="1" applyAlignment="1">
      <alignment horizontal="left" wrapText="1"/>
    </xf>
    <xf numFmtId="10" fontId="0" fillId="9" borderId="8" xfId="1" applyNumberFormat="1" applyFont="1" applyFill="1" applyBorder="1"/>
    <xf numFmtId="0" fontId="0" fillId="0" borderId="16" xfId="0" applyBorder="1" applyAlignment="1">
      <alignment vertical="center"/>
    </xf>
    <xf numFmtId="0" fontId="0" fillId="0" borderId="13" xfId="0" applyBorder="1"/>
    <xf numFmtId="0" fontId="0" fillId="0" borderId="15" xfId="0" applyBorder="1"/>
    <xf numFmtId="10" fontId="0" fillId="9" borderId="3" xfId="1" applyNumberFormat="1" applyFont="1" applyFill="1" applyBorder="1"/>
    <xf numFmtId="43" fontId="1" fillId="0" borderId="4" xfId="2" applyFont="1" applyFill="1" applyBorder="1"/>
    <xf numFmtId="43" fontId="1" fillId="0" borderId="6" xfId="2" applyFont="1" applyFill="1" applyBorder="1"/>
    <xf numFmtId="43" fontId="4" fillId="0" borderId="4" xfId="2" applyFont="1" applyFill="1" applyBorder="1"/>
    <xf numFmtId="43" fontId="4" fillId="0" borderId="6" xfId="2" applyFont="1" applyFill="1" applyBorder="1"/>
    <xf numFmtId="43" fontId="1" fillId="2" borderId="1" xfId="2" applyFont="1" applyFill="1" applyBorder="1"/>
    <xf numFmtId="43" fontId="1" fillId="2" borderId="3" xfId="2" applyFont="1" applyFill="1" applyBorder="1"/>
    <xf numFmtId="0" fontId="0" fillId="0" borderId="4" xfId="0" applyBorder="1" applyAlignment="1">
      <alignment vertical="center" wrapText="1"/>
    </xf>
    <xf numFmtId="43" fontId="4" fillId="0" borderId="4" xfId="2" applyFont="1" applyFill="1" applyBorder="1" applyAlignment="1">
      <alignment vertical="center"/>
    </xf>
    <xf numFmtId="43" fontId="4" fillId="0" borderId="6" xfId="2" applyFont="1" applyFill="1" applyBorder="1" applyAlignment="1">
      <alignment vertical="center"/>
    </xf>
    <xf numFmtId="43" fontId="7" fillId="0" borderId="1" xfId="2" applyFont="1" applyFill="1" applyBorder="1"/>
    <xf numFmtId="43" fontId="1" fillId="0" borderId="1" xfId="2" applyFont="1" applyFill="1" applyBorder="1"/>
    <xf numFmtId="0" fontId="6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2" fontId="7" fillId="0" borderId="4" xfId="0" applyNumberFormat="1" applyFont="1" applyBorder="1" applyAlignment="1">
      <alignment wrapText="1"/>
    </xf>
    <xf numFmtId="4" fontId="7" fillId="0" borderId="0" xfId="0" applyNumberFormat="1" applyFont="1" applyAlignment="1">
      <alignment horizontal="right"/>
    </xf>
    <xf numFmtId="4" fontId="7" fillId="0" borderId="4" xfId="0" applyNumberFormat="1" applyFont="1" applyBorder="1"/>
    <xf numFmtId="4" fontId="7" fillId="0" borderId="0" xfId="0" applyNumberFormat="1" applyFont="1"/>
    <xf numFmtId="4" fontId="1" fillId="9" borderId="1" xfId="0" applyNumberFormat="1" applyFont="1" applyFill="1" applyBorder="1"/>
    <xf numFmtId="4" fontId="1" fillId="9" borderId="3" xfId="0" applyNumberFormat="1" applyFont="1" applyFill="1" applyBorder="1"/>
    <xf numFmtId="4" fontId="1" fillId="9" borderId="17" xfId="0" applyNumberFormat="1" applyFont="1" applyFill="1" applyBorder="1"/>
    <xf numFmtId="43" fontId="4" fillId="2" borderId="4" xfId="2" applyFont="1" applyFill="1" applyBorder="1"/>
    <xf numFmtId="2" fontId="1" fillId="0" borderId="4" xfId="0" applyNumberFormat="1" applyFont="1" applyBorder="1"/>
    <xf numFmtId="2" fontId="1" fillId="0" borderId="4" xfId="0" applyNumberFormat="1" applyFont="1" applyBorder="1" applyAlignment="1">
      <alignment wrapText="1"/>
    </xf>
    <xf numFmtId="10" fontId="0" fillId="0" borderId="1" xfId="0" applyNumberFormat="1" applyBorder="1"/>
    <xf numFmtId="0" fontId="1" fillId="2" borderId="17" xfId="0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0" fillId="0" borderId="6" xfId="0" applyNumberFormat="1" applyBorder="1"/>
    <xf numFmtId="2" fontId="0" fillId="0" borderId="4" xfId="1" applyNumberFormat="1" applyFont="1" applyBorder="1"/>
    <xf numFmtId="0" fontId="0" fillId="0" borderId="6" xfId="0" applyBorder="1" applyAlignment="1">
      <alignment horizontal="center"/>
    </xf>
    <xf numFmtId="2" fontId="1" fillId="0" borderId="1" xfId="1" applyNumberFormat="1" applyFont="1" applyBorder="1"/>
    <xf numFmtId="2" fontId="1" fillId="3" borderId="1" xfId="1" applyNumberFormat="1" applyFont="1" applyFill="1" applyBorder="1"/>
    <xf numFmtId="2" fontId="1" fillId="2" borderId="1" xfId="1" applyNumberFormat="1" applyFont="1" applyFill="1" applyBorder="1"/>
    <xf numFmtId="0" fontId="0" fillId="0" borderId="6" xfId="0" applyBorder="1" applyAlignment="1">
      <alignment vertical="center"/>
    </xf>
    <xf numFmtId="0" fontId="1" fillId="3" borderId="5" xfId="0" applyFont="1" applyFill="1" applyBorder="1"/>
    <xf numFmtId="2" fontId="0" fillId="0" borderId="8" xfId="0" applyNumberFormat="1" applyBorder="1"/>
    <xf numFmtId="2" fontId="0" fillId="0" borderId="5" xfId="0" applyNumberFormat="1" applyBorder="1"/>
    <xf numFmtId="2" fontId="0" fillId="0" borderId="9" xfId="0" applyNumberFormat="1" applyBorder="1"/>
    <xf numFmtId="2" fontId="0" fillId="9" borderId="4" xfId="1" applyNumberFormat="1" applyFont="1" applyFill="1" applyBorder="1"/>
    <xf numFmtId="2" fontId="0" fillId="9" borderId="1" xfId="1" applyNumberFormat="1" applyFont="1" applyFill="1" applyBorder="1"/>
    <xf numFmtId="2" fontId="0" fillId="9" borderId="1" xfId="1" applyNumberFormat="1" applyFont="1" applyFill="1" applyBorder="1" applyAlignment="1">
      <alignment horizontal="center"/>
    </xf>
    <xf numFmtId="2" fontId="1" fillId="0" borderId="4" xfId="1" applyNumberFormat="1" applyFont="1" applyBorder="1"/>
    <xf numFmtId="2" fontId="7" fillId="0" borderId="1" xfId="1" applyNumberFormat="1" applyFont="1" applyBorder="1"/>
    <xf numFmtId="2" fontId="0" fillId="2" borderId="1" xfId="1" applyNumberFormat="1" applyFont="1" applyFill="1" applyBorder="1"/>
    <xf numFmtId="2" fontId="0" fillId="0" borderId="1" xfId="1" applyNumberFormat="1" applyFont="1" applyFill="1" applyBorder="1"/>
    <xf numFmtId="0" fontId="1" fillId="0" borderId="3" xfId="0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0" fontId="0" fillId="0" borderId="6" xfId="0" applyNumberFormat="1" applyBorder="1"/>
    <xf numFmtId="0" fontId="8" fillId="0" borderId="6" xfId="0" applyFont="1" applyBorder="1"/>
    <xf numFmtId="0" fontId="8" fillId="0" borderId="4" xfId="0" applyFont="1" applyBorder="1" applyAlignment="1">
      <alignment horizontal="center"/>
    </xf>
    <xf numFmtId="10" fontId="0" fillId="0" borderId="0" xfId="1" applyNumberFormat="1" applyFont="1" applyBorder="1"/>
    <xf numFmtId="0" fontId="13" fillId="0" borderId="6" xfId="0" applyFont="1" applyBorder="1"/>
    <xf numFmtId="0" fontId="8" fillId="2" borderId="6" xfId="0" applyFont="1" applyFill="1" applyBorder="1"/>
    <xf numFmtId="10" fontId="0" fillId="2" borderId="4" xfId="1" applyNumberFormat="1" applyFont="1" applyFill="1" applyBorder="1"/>
    <xf numFmtId="0" fontId="7" fillId="0" borderId="6" xfId="0" applyFont="1" applyBorder="1"/>
    <xf numFmtId="168" fontId="0" fillId="0" borderId="6" xfId="0" applyNumberFormat="1" applyBorder="1"/>
    <xf numFmtId="168" fontId="0" fillId="0" borderId="4" xfId="0" applyNumberFormat="1" applyBorder="1"/>
    <xf numFmtId="168" fontId="0" fillId="0" borderId="7" xfId="0" applyNumberFormat="1" applyBorder="1"/>
    <xf numFmtId="1" fontId="0" fillId="0" borderId="0" xfId="0" applyNumberFormat="1"/>
    <xf numFmtId="1" fontId="0" fillId="0" borderId="7" xfId="0" applyNumberFormat="1" applyBorder="1"/>
    <xf numFmtId="0" fontId="8" fillId="11" borderId="6" xfId="0" applyFont="1" applyFill="1" applyBorder="1"/>
    <xf numFmtId="0" fontId="8" fillId="11" borderId="4" xfId="0" applyFont="1" applyFill="1" applyBorder="1" applyAlignment="1">
      <alignment horizontal="center"/>
    </xf>
    <xf numFmtId="1" fontId="0" fillId="11" borderId="4" xfId="0" applyNumberFormat="1" applyFill="1" applyBorder="1"/>
    <xf numFmtId="1" fontId="0" fillId="11" borderId="0" xfId="0" applyNumberFormat="1" applyFill="1"/>
    <xf numFmtId="1" fontId="0" fillId="11" borderId="7" xfId="0" applyNumberFormat="1" applyFill="1" applyBorder="1"/>
    <xf numFmtId="1" fontId="8" fillId="0" borderId="4" xfId="0" applyNumberFormat="1" applyFont="1" applyBorder="1"/>
    <xf numFmtId="1" fontId="0" fillId="0" borderId="6" xfId="0" applyNumberFormat="1" applyBorder="1"/>
    <xf numFmtId="0" fontId="0" fillId="0" borderId="5" xfId="0" applyBorder="1" applyAlignment="1">
      <alignment horizontal="center"/>
    </xf>
    <xf numFmtId="1" fontId="0" fillId="0" borderId="8" xfId="0" applyNumberFormat="1" applyBorder="1"/>
    <xf numFmtId="1" fontId="0" fillId="0" borderId="5" xfId="0" applyNumberFormat="1" applyBorder="1"/>
    <xf numFmtId="1" fontId="0" fillId="0" borderId="9" xfId="0" applyNumberFormat="1" applyBorder="1"/>
    <xf numFmtId="0" fontId="8" fillId="0" borderId="8" xfId="0" applyFont="1" applyBorder="1"/>
    <xf numFmtId="0" fontId="8" fillId="0" borderId="5" xfId="0" applyFont="1" applyBorder="1" applyAlignment="1">
      <alignment horizontal="center"/>
    </xf>
    <xf numFmtId="10" fontId="0" fillId="0" borderId="2" xfId="1" applyNumberFormat="1" applyFont="1" applyBorder="1"/>
    <xf numFmtId="10" fontId="0" fillId="0" borderId="9" xfId="1" applyNumberFormat="1" applyFont="1" applyBorder="1"/>
    <xf numFmtId="0" fontId="6" fillId="0" borderId="0" xfId="0" applyFont="1"/>
    <xf numFmtId="0" fontId="8" fillId="11" borderId="0" xfId="0" applyFont="1" applyFill="1"/>
    <xf numFmtId="2" fontId="0" fillId="11" borderId="0" xfId="0" applyNumberFormat="1" applyFill="1"/>
    <xf numFmtId="0" fontId="11" fillId="0" borderId="0" xfId="0" applyFont="1"/>
    <xf numFmtId="0" fontId="0" fillId="2" borderId="0" xfId="0" applyFill="1"/>
    <xf numFmtId="2" fontId="11" fillId="0" borderId="0" xfId="0" applyNumberFormat="1" applyFont="1" applyAlignment="1">
      <alignment wrapText="1"/>
    </xf>
    <xf numFmtId="10" fontId="1" fillId="6" borderId="16" xfId="1" applyNumberFormat="1" applyFont="1" applyFill="1" applyBorder="1" applyAlignment="1">
      <alignment horizontal="center"/>
    </xf>
    <xf numFmtId="10" fontId="1" fillId="6" borderId="5" xfId="1" applyNumberFormat="1" applyFont="1" applyFill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9" fontId="4" fillId="9" borderId="16" xfId="1" applyFont="1" applyFill="1" applyBorder="1" applyAlignment="1">
      <alignment horizontal="center"/>
    </xf>
    <xf numFmtId="9" fontId="4" fillId="9" borderId="5" xfId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9" borderId="16" xfId="0" applyFill="1" applyBorder="1" applyAlignment="1">
      <alignment horizontal="center" wrapText="1"/>
    </xf>
    <xf numFmtId="0" fontId="0" fillId="9" borderId="5" xfId="0" applyFill="1" applyBorder="1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10" fontId="8" fillId="0" borderId="4" xfId="1" applyNumberFormat="1" applyFont="1" applyBorder="1" applyAlignment="1">
      <alignment horizontal="center" vertical="center"/>
    </xf>
    <xf numFmtId="10" fontId="8" fillId="0" borderId="5" xfId="1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9" borderId="16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9" borderId="1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0" fillId="9" borderId="4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FF"/>
      <color rgb="FFCCECFF"/>
      <color rgb="FFFF9900"/>
      <color rgb="FFCC99FF"/>
      <color rgb="FFFFFFCC"/>
      <color rgb="FF000099"/>
      <color rgb="FF0033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9FE5-0E55-48DB-921E-46CDEDF38658}">
  <dimension ref="E4:H6"/>
  <sheetViews>
    <sheetView workbookViewId="0">
      <selection activeCell="G13" sqref="G13"/>
    </sheetView>
  </sheetViews>
  <sheetFormatPr defaultRowHeight="14.4" x14ac:dyDescent="0.3"/>
  <cols>
    <col min="5" max="5" width="22.21875" bestFit="1" customWidth="1"/>
    <col min="6" max="6" width="10.44140625" bestFit="1" customWidth="1"/>
    <col min="7" max="7" width="15.6640625" bestFit="1" customWidth="1"/>
    <col min="8" max="8" width="18.21875" bestFit="1" customWidth="1"/>
  </cols>
  <sheetData>
    <row r="4" spans="5:8" ht="15" thickBot="1" x14ac:dyDescent="0.35"/>
    <row r="5" spans="5:8" ht="15" thickBot="1" x14ac:dyDescent="0.35">
      <c r="E5" s="148" t="s">
        <v>299</v>
      </c>
      <c r="F5" s="148" t="s">
        <v>300</v>
      </c>
      <c r="G5" s="148" t="s">
        <v>301</v>
      </c>
      <c r="H5" s="148" t="s">
        <v>305</v>
      </c>
    </row>
    <row r="6" spans="5:8" ht="15" thickBot="1" x14ac:dyDescent="0.35">
      <c r="E6" s="149" t="s">
        <v>302</v>
      </c>
      <c r="F6" s="149" t="s">
        <v>303</v>
      </c>
      <c r="G6" s="149" t="s">
        <v>304</v>
      </c>
      <c r="H6" s="149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N124"/>
  <sheetViews>
    <sheetView tabSelected="1" zoomScale="110" zoomScaleNormal="110" workbookViewId="0">
      <pane xSplit="2" ySplit="4" topLeftCell="C77" activePane="bottomRight" state="frozen"/>
      <selection pane="topRight" activeCell="C1" sqref="C1"/>
      <selection pane="bottomLeft" activeCell="A5" sqref="A5"/>
      <selection pane="bottomRight" activeCell="C84" sqref="C84:G84"/>
    </sheetView>
  </sheetViews>
  <sheetFormatPr defaultRowHeight="14.4" x14ac:dyDescent="0.3"/>
  <cols>
    <col min="1" max="1" width="3.88671875" customWidth="1"/>
    <col min="2" max="2" width="60.21875" customWidth="1"/>
    <col min="3" max="3" width="11" bestFit="1" customWidth="1"/>
    <col min="4" max="4" width="11.88671875" customWidth="1"/>
    <col min="5" max="5" width="11" bestFit="1" customWidth="1"/>
    <col min="6" max="6" width="11.109375" customWidth="1"/>
    <col min="7" max="7" width="11.33203125" bestFit="1" customWidth="1"/>
    <col min="8" max="8" width="4.33203125" customWidth="1"/>
    <col min="9" max="9" width="32.109375" bestFit="1" customWidth="1"/>
    <col min="10" max="10" width="18" customWidth="1"/>
    <col min="11" max="11" width="19.21875" customWidth="1"/>
    <col min="12" max="14" width="18.44140625" bestFit="1" customWidth="1"/>
  </cols>
  <sheetData>
    <row r="2" spans="2:14" ht="15.6" x14ac:dyDescent="0.3">
      <c r="B2" s="295" t="s">
        <v>129</v>
      </c>
      <c r="C2" s="296"/>
      <c r="D2" s="296"/>
      <c r="E2" s="296"/>
      <c r="F2" s="296"/>
      <c r="G2" s="297"/>
    </row>
    <row r="3" spans="2:14" ht="15.6" x14ac:dyDescent="0.3">
      <c r="B3" s="298" t="s">
        <v>128</v>
      </c>
      <c r="C3" s="299"/>
      <c r="D3" s="299"/>
      <c r="E3" s="299"/>
      <c r="F3" s="299"/>
      <c r="G3" s="300"/>
      <c r="J3" s="302" t="s">
        <v>68</v>
      </c>
      <c r="K3" s="303"/>
      <c r="L3" s="303"/>
      <c r="M3" s="303"/>
      <c r="N3" s="304"/>
    </row>
    <row r="4" spans="2:14" ht="28.8" x14ac:dyDescent="0.3">
      <c r="B4" s="2" t="s">
        <v>0</v>
      </c>
      <c r="C4" s="1" t="s">
        <v>59</v>
      </c>
      <c r="D4" s="1" t="s">
        <v>58</v>
      </c>
      <c r="E4" s="18" t="s">
        <v>1</v>
      </c>
      <c r="F4" s="24" t="s">
        <v>2</v>
      </c>
      <c r="G4" s="1" t="s">
        <v>3</v>
      </c>
      <c r="J4" s="19" t="s">
        <v>69</v>
      </c>
      <c r="K4" s="19" t="s">
        <v>70</v>
      </c>
      <c r="L4" s="19" t="s">
        <v>71</v>
      </c>
      <c r="M4" s="19" t="s">
        <v>72</v>
      </c>
      <c r="N4" s="19" t="s">
        <v>73</v>
      </c>
    </row>
    <row r="5" spans="2:14" x14ac:dyDescent="0.3">
      <c r="B5" s="5" t="s">
        <v>4</v>
      </c>
      <c r="C5" s="12"/>
      <c r="D5" s="54"/>
      <c r="F5" s="8"/>
      <c r="G5" s="27"/>
      <c r="J5" s="19"/>
      <c r="K5" s="64"/>
      <c r="L5" s="64"/>
      <c r="M5" s="64"/>
      <c r="N5" s="64"/>
    </row>
    <row r="6" spans="2:14" x14ac:dyDescent="0.3">
      <c r="B6" s="7" t="s">
        <v>5</v>
      </c>
      <c r="C6" s="12"/>
      <c r="D6" s="3"/>
      <c r="F6" s="8"/>
      <c r="G6" s="19"/>
      <c r="J6" s="64"/>
      <c r="K6" s="64"/>
      <c r="L6" s="64"/>
      <c r="M6" s="64"/>
      <c r="N6" s="64"/>
    </row>
    <row r="7" spans="2:14" x14ac:dyDescent="0.3">
      <c r="B7" s="8" t="s">
        <v>6</v>
      </c>
      <c r="C7" s="82">
        <v>63753.53</v>
      </c>
      <c r="D7" s="83">
        <v>58148.57</v>
      </c>
      <c r="E7" s="83">
        <v>53767.33</v>
      </c>
      <c r="F7" s="83">
        <v>55758.44</v>
      </c>
      <c r="G7" s="83">
        <v>55652.22</v>
      </c>
      <c r="I7" s="67" t="s">
        <v>64</v>
      </c>
      <c r="J7" s="68">
        <f>C7/C43</f>
        <v>0.18906458779692578</v>
      </c>
      <c r="K7" s="68">
        <f t="shared" ref="K7:N7" si="0">D7/D43</f>
        <v>0.2009316130492034</v>
      </c>
      <c r="L7" s="68">
        <f t="shared" si="0"/>
        <v>0.2013333068220706</v>
      </c>
      <c r="M7" s="68">
        <f t="shared" si="0"/>
        <v>0.22812944171366992</v>
      </c>
      <c r="N7" s="68">
        <f t="shared" si="0"/>
        <v>0.23075553812968094</v>
      </c>
    </row>
    <row r="8" spans="2:14" x14ac:dyDescent="0.3">
      <c r="B8" s="8" t="s">
        <v>12</v>
      </c>
      <c r="C8" s="35">
        <v>7730.18</v>
      </c>
      <c r="D8" s="83">
        <v>6572.18</v>
      </c>
      <c r="E8" s="35">
        <v>5719.43</v>
      </c>
      <c r="F8" s="35">
        <v>3822.45</v>
      </c>
      <c r="G8" s="35">
        <v>2728.2</v>
      </c>
      <c r="I8" s="63" t="s">
        <v>65</v>
      </c>
      <c r="J8" s="66">
        <f>C8/C43</f>
        <v>2.2924272511593315E-2</v>
      </c>
      <c r="K8" s="66">
        <f t="shared" ref="K8:N8" si="1">D8/D43</f>
        <v>2.271008089536361E-2</v>
      </c>
      <c r="L8" s="66">
        <f t="shared" si="1"/>
        <v>2.141656941189669E-2</v>
      </c>
      <c r="M8" s="66">
        <f t="shared" si="1"/>
        <v>1.5639128076008181E-2</v>
      </c>
      <c r="N8" s="66">
        <f t="shared" si="1"/>
        <v>1.1312167944520371E-2</v>
      </c>
    </row>
    <row r="9" spans="2:14" x14ac:dyDescent="0.3">
      <c r="B9" s="8" t="s">
        <v>130</v>
      </c>
      <c r="C9" s="6">
        <v>14.37</v>
      </c>
      <c r="D9" s="19">
        <v>14.81</v>
      </c>
      <c r="E9">
        <v>15.24</v>
      </c>
      <c r="F9">
        <v>15.67</v>
      </c>
      <c r="G9">
        <v>16.11</v>
      </c>
      <c r="I9" s="63"/>
      <c r="J9" s="66"/>
      <c r="K9" s="66"/>
      <c r="L9" s="66"/>
      <c r="M9" s="66"/>
      <c r="N9" s="66"/>
    </row>
    <row r="10" spans="2:14" x14ac:dyDescent="0.3">
      <c r="B10" s="8" t="s">
        <v>131</v>
      </c>
      <c r="C10" s="82">
        <v>20137.55</v>
      </c>
      <c r="D10" s="83">
        <v>20058.5</v>
      </c>
      <c r="E10" s="35">
        <v>20013.86</v>
      </c>
      <c r="F10" s="35">
        <v>20046.5</v>
      </c>
      <c r="G10" s="35">
        <v>21346.39</v>
      </c>
      <c r="I10" s="63"/>
      <c r="J10" s="66"/>
      <c r="K10" s="66"/>
      <c r="L10" s="66"/>
      <c r="M10" s="66"/>
      <c r="N10" s="66"/>
    </row>
    <row r="11" spans="2:14" x14ac:dyDescent="0.3">
      <c r="B11" s="8" t="s">
        <v>13</v>
      </c>
      <c r="C11" s="82">
        <v>8591.89</v>
      </c>
      <c r="D11" s="83">
        <v>8895.41</v>
      </c>
      <c r="E11" s="35">
        <v>9254.48</v>
      </c>
      <c r="F11" s="35">
        <v>9684.2900000000009</v>
      </c>
      <c r="G11" s="35">
        <v>10114.469999999999</v>
      </c>
      <c r="I11" s="63" t="s">
        <v>66</v>
      </c>
      <c r="J11" s="66">
        <f>(C10+C11+C12+C13)/C43</f>
        <v>9.2454047912630469E-2</v>
      </c>
      <c r="K11" s="66">
        <f t="shared" ref="K11:N11" si="2">(D10+D11+D12+D13)/D43</f>
        <v>0.10669050307498582</v>
      </c>
      <c r="L11" s="66">
        <f t="shared" si="2"/>
        <v>0.11716439128511885</v>
      </c>
      <c r="M11" s="66">
        <f t="shared" si="2"/>
        <v>0.13041341844512508</v>
      </c>
      <c r="N11" s="66">
        <f t="shared" si="2"/>
        <v>0.13060545142669444</v>
      </c>
    </row>
    <row r="12" spans="2:14" x14ac:dyDescent="0.3">
      <c r="B12" s="8" t="s">
        <v>132</v>
      </c>
      <c r="C12" s="6">
        <v>47.5</v>
      </c>
      <c r="D12" s="19">
        <v>42.94</v>
      </c>
      <c r="E12">
        <v>49.26</v>
      </c>
      <c r="F12">
        <v>81.680000000000007</v>
      </c>
      <c r="G12">
        <v>37.770000000000003</v>
      </c>
      <c r="I12" s="63"/>
      <c r="J12" s="65"/>
      <c r="K12" s="64"/>
      <c r="L12" s="64"/>
      <c r="M12" s="64"/>
      <c r="N12" s="64"/>
    </row>
    <row r="13" spans="2:14" x14ac:dyDescent="0.3">
      <c r="B13" s="8" t="s">
        <v>133</v>
      </c>
      <c r="C13" s="82">
        <v>2399.0300000000002</v>
      </c>
      <c r="D13" s="83">
        <v>1878.83</v>
      </c>
      <c r="E13" s="35">
        <v>1971.89</v>
      </c>
      <c r="F13" s="35">
        <v>2062.63</v>
      </c>
      <c r="G13" s="3"/>
      <c r="I13" s="63"/>
      <c r="J13" s="65"/>
      <c r="K13" s="64"/>
      <c r="L13" s="64"/>
      <c r="M13" s="64"/>
      <c r="N13" s="64"/>
    </row>
    <row r="14" spans="2:14" x14ac:dyDescent="0.3">
      <c r="B14" t="s">
        <v>134</v>
      </c>
      <c r="C14" s="82">
        <v>11016.84</v>
      </c>
      <c r="D14" s="83">
        <v>7050.17</v>
      </c>
      <c r="E14" s="35">
        <v>6837.66</v>
      </c>
      <c r="F14" s="35">
        <v>6533.09</v>
      </c>
      <c r="G14" s="35">
        <v>6284.29</v>
      </c>
      <c r="I14" s="63"/>
      <c r="J14" s="65"/>
      <c r="K14" s="64"/>
      <c r="L14" s="64"/>
      <c r="M14" s="64"/>
      <c r="N14" s="64"/>
    </row>
    <row r="15" spans="2:14" x14ac:dyDescent="0.3">
      <c r="B15" s="8" t="s">
        <v>14</v>
      </c>
      <c r="C15" s="8"/>
      <c r="D15" s="3"/>
      <c r="F15" s="8"/>
      <c r="G15" s="19"/>
      <c r="J15" s="64"/>
      <c r="K15" s="64"/>
      <c r="L15" s="64"/>
      <c r="M15" s="64"/>
      <c r="N15" s="64"/>
    </row>
    <row r="16" spans="2:14" x14ac:dyDescent="0.3">
      <c r="B16" s="8" t="s">
        <v>140</v>
      </c>
      <c r="C16" s="3"/>
      <c r="D16" s="3"/>
      <c r="E16" s="9"/>
      <c r="F16" s="25"/>
      <c r="G16" s="20"/>
      <c r="I16" s="301" t="s">
        <v>14</v>
      </c>
      <c r="J16" s="290">
        <f>(C17+C18+C19+C20+C21+C22)/C43</f>
        <v>0.44633652113671018</v>
      </c>
      <c r="K16" s="290">
        <f t="shared" ref="K16:N16" si="3">(D17+D18+D19+D20+D21+D22)/D43</f>
        <v>0.43326019334899663</v>
      </c>
      <c r="L16" s="290">
        <f t="shared" si="3"/>
        <v>0.39655861342501142</v>
      </c>
      <c r="M16" s="290">
        <f t="shared" si="3"/>
        <v>0.36696784741411975</v>
      </c>
      <c r="N16" s="290">
        <f t="shared" si="3"/>
        <v>0.37852768746605403</v>
      </c>
    </row>
    <row r="17" spans="2:14" x14ac:dyDescent="0.3">
      <c r="B17" s="8" t="s">
        <v>141</v>
      </c>
      <c r="C17" s="82">
        <v>39523.43</v>
      </c>
      <c r="D17" s="84">
        <v>30952.639999999999</v>
      </c>
      <c r="E17" s="35">
        <v>25046.58</v>
      </c>
      <c r="F17" s="35">
        <v>19269.34</v>
      </c>
      <c r="G17" s="35">
        <v>15601.37</v>
      </c>
      <c r="I17" s="301"/>
      <c r="J17" s="291"/>
      <c r="K17" s="291"/>
      <c r="L17" s="291"/>
      <c r="M17" s="291"/>
      <c r="N17" s="291"/>
    </row>
    <row r="18" spans="2:14" x14ac:dyDescent="0.3">
      <c r="B18" s="8" t="s">
        <v>142</v>
      </c>
      <c r="C18" s="84">
        <v>9502.9</v>
      </c>
      <c r="D18" s="84">
        <v>13881.17</v>
      </c>
      <c r="E18" s="35">
        <v>10592.62</v>
      </c>
      <c r="F18" s="35">
        <v>6211.67</v>
      </c>
      <c r="G18" s="35">
        <v>8751.2199999999993</v>
      </c>
      <c r="I18" s="301"/>
      <c r="J18" s="291"/>
      <c r="K18" s="291"/>
      <c r="L18" s="291"/>
      <c r="M18" s="291"/>
      <c r="N18" s="291"/>
    </row>
    <row r="19" spans="2:14" x14ac:dyDescent="0.3">
      <c r="B19" s="8" t="s">
        <v>135</v>
      </c>
      <c r="C19" s="82">
        <v>26842.95</v>
      </c>
      <c r="D19" s="84">
        <v>26137.33</v>
      </c>
      <c r="E19" s="35">
        <v>23251.200000000001</v>
      </c>
      <c r="F19" s="35">
        <v>17638.810000000001</v>
      </c>
      <c r="G19" s="35">
        <v>20234.849999999999</v>
      </c>
      <c r="I19" s="301"/>
      <c r="J19" s="291"/>
      <c r="K19" s="291"/>
      <c r="L19" s="291"/>
      <c r="M19" s="291"/>
      <c r="N19" s="291"/>
    </row>
    <row r="20" spans="2:14" x14ac:dyDescent="0.3">
      <c r="B20" s="8" t="s">
        <v>77</v>
      </c>
      <c r="C20">
        <v>6.82</v>
      </c>
      <c r="D20" s="85"/>
      <c r="E20" s="9"/>
      <c r="F20" s="35"/>
      <c r="G20" s="20"/>
      <c r="I20" s="301"/>
      <c r="J20" s="291"/>
      <c r="K20" s="291"/>
      <c r="L20" s="291"/>
      <c r="M20" s="291"/>
      <c r="N20" s="291"/>
    </row>
    <row r="21" spans="2:14" x14ac:dyDescent="0.3">
      <c r="B21" s="8" t="s">
        <v>78</v>
      </c>
      <c r="C21" s="82">
        <v>70871.12</v>
      </c>
      <c r="D21" s="82">
        <v>51954.12</v>
      </c>
      <c r="E21" s="35">
        <v>45743.75</v>
      </c>
      <c r="F21" s="35">
        <v>46054.89</v>
      </c>
      <c r="G21" s="35">
        <v>46384.67</v>
      </c>
      <c r="I21" s="301"/>
      <c r="J21" s="291"/>
      <c r="K21" s="291"/>
      <c r="L21" s="291"/>
      <c r="M21" s="291"/>
      <c r="N21" s="291"/>
    </row>
    <row r="22" spans="2:14" x14ac:dyDescent="0.3">
      <c r="B22" s="8" t="s">
        <v>79</v>
      </c>
      <c r="C22" s="82">
        <v>3759.7</v>
      </c>
      <c r="D22" s="82">
        <v>2458</v>
      </c>
      <c r="E22" s="35">
        <v>1269.33</v>
      </c>
      <c r="F22">
        <v>518.03</v>
      </c>
      <c r="G22">
        <v>318.89999999999998</v>
      </c>
      <c r="I22" s="301"/>
      <c r="J22" s="292"/>
      <c r="K22" s="292"/>
      <c r="L22" s="292"/>
      <c r="M22" s="292"/>
      <c r="N22" s="292"/>
    </row>
    <row r="23" spans="2:14" x14ac:dyDescent="0.3">
      <c r="B23" s="8" t="s">
        <v>33</v>
      </c>
      <c r="C23" s="6">
        <v>382.26</v>
      </c>
      <c r="D23" s="19">
        <v>246.04</v>
      </c>
      <c r="E23">
        <v>205.44</v>
      </c>
      <c r="F23">
        <v>137.57</v>
      </c>
      <c r="G23">
        <v>46.95</v>
      </c>
      <c r="I23" s="63" t="s">
        <v>67</v>
      </c>
      <c r="J23" s="66">
        <f>C23/C43</f>
        <v>1.1336129831752508E-3</v>
      </c>
      <c r="K23" s="66">
        <f t="shared" ref="K23:N23" si="4">D23/D43</f>
        <v>8.5018795947391316E-4</v>
      </c>
      <c r="L23" s="66">
        <f t="shared" si="4"/>
        <v>7.6927596281098918E-4</v>
      </c>
      <c r="M23" s="66">
        <f t="shared" si="4"/>
        <v>5.6285231969455324E-4</v>
      </c>
      <c r="N23" s="66">
        <f t="shared" si="4"/>
        <v>1.946727824188958E-4</v>
      </c>
    </row>
    <row r="24" spans="2:14" x14ac:dyDescent="0.3">
      <c r="B24" s="8" t="s">
        <v>136</v>
      </c>
      <c r="C24">
        <v>826.38</v>
      </c>
      <c r="D24" s="83">
        <v>989.16</v>
      </c>
      <c r="E24">
        <v>683.73</v>
      </c>
      <c r="F24">
        <v>672.89</v>
      </c>
      <c r="G24">
        <v>245.78</v>
      </c>
      <c r="I24" s="63" t="s">
        <v>74</v>
      </c>
      <c r="J24" s="66"/>
      <c r="K24" s="66"/>
      <c r="L24" s="66"/>
      <c r="M24" s="66"/>
      <c r="N24" s="66"/>
    </row>
    <row r="25" spans="2:14" x14ac:dyDescent="0.3">
      <c r="B25" s="8" t="s">
        <v>137</v>
      </c>
      <c r="C25" s="35">
        <v>4276.22</v>
      </c>
      <c r="D25" s="86">
        <v>3347.27</v>
      </c>
      <c r="E25" s="35">
        <v>2857.15</v>
      </c>
      <c r="F25" s="35">
        <v>3562.51</v>
      </c>
      <c r="G25" s="35">
        <v>3530.17</v>
      </c>
      <c r="I25" s="63" t="s">
        <v>75</v>
      </c>
      <c r="J25" s="66">
        <f>C25/C43</f>
        <v>1.2681364806450247E-2</v>
      </c>
      <c r="K25" s="66">
        <f t="shared" ref="K25:N25" si="5">D25/D43</f>
        <v>1.1566447126923448E-2</v>
      </c>
      <c r="L25" s="66">
        <f t="shared" si="5"/>
        <v>1.0698679989999113E-2</v>
      </c>
      <c r="M25" s="66">
        <f t="shared" si="5"/>
        <v>1.4575612542233359E-2</v>
      </c>
      <c r="N25" s="66">
        <f t="shared" si="5"/>
        <v>1.4637444436884204E-2</v>
      </c>
    </row>
    <row r="26" spans="2:14" x14ac:dyDescent="0.3">
      <c r="B26" s="22" t="s">
        <v>34</v>
      </c>
      <c r="C26" s="93">
        <v>269682.67</v>
      </c>
      <c r="D26" s="94">
        <v>232627.14</v>
      </c>
      <c r="E26" s="94">
        <v>207278.95</v>
      </c>
      <c r="F26" s="23">
        <v>192070.46</v>
      </c>
      <c r="G26" s="26">
        <v>191293.36</v>
      </c>
      <c r="I26" s="63" t="s">
        <v>76</v>
      </c>
      <c r="J26" s="66">
        <f>C26/C43</f>
        <v>0.79975874025366689</v>
      </c>
      <c r="K26" s="66">
        <f t="shared" ref="K26:N26" si="6">D26/D43</f>
        <v>0.80383999949135232</v>
      </c>
      <c r="L26" s="66">
        <f t="shared" si="6"/>
        <v>0.77616196374464996</v>
      </c>
      <c r="M26" s="66">
        <f t="shared" si="6"/>
        <v>0.7858348764687062</v>
      </c>
      <c r="N26" s="66">
        <f t="shared" si="6"/>
        <v>0.79317594567538863</v>
      </c>
    </row>
    <row r="27" spans="2:14" x14ac:dyDescent="0.3">
      <c r="B27" s="7" t="s">
        <v>7</v>
      </c>
      <c r="C27" s="12"/>
      <c r="D27" s="20"/>
      <c r="F27" s="19"/>
      <c r="G27" s="6"/>
      <c r="I27" s="63" t="s">
        <v>297</v>
      </c>
      <c r="J27" s="66"/>
      <c r="K27" s="64"/>
      <c r="L27" s="64"/>
      <c r="M27" s="64"/>
      <c r="N27" s="64"/>
    </row>
    <row r="28" spans="2:14" x14ac:dyDescent="0.3">
      <c r="B28" s="8" t="s">
        <v>16</v>
      </c>
      <c r="C28" s="82">
        <v>11159.15</v>
      </c>
      <c r="D28" s="83">
        <v>9536.42</v>
      </c>
      <c r="E28" s="35">
        <v>6196.96</v>
      </c>
      <c r="F28" s="35">
        <v>6805.57</v>
      </c>
      <c r="G28" s="35">
        <v>7059.13</v>
      </c>
      <c r="I28" s="67" t="s">
        <v>16</v>
      </c>
      <c r="J28" s="68">
        <f>C28/C43</f>
        <v>3.309307100193612E-2</v>
      </c>
      <c r="K28" s="68">
        <f t="shared" ref="K28:N28" si="7">D28/D43</f>
        <v>3.2952972933206856E-2</v>
      </c>
      <c r="L28" s="68">
        <f t="shared" si="7"/>
        <v>2.3204694171053288E-2</v>
      </c>
      <c r="M28" s="68">
        <f t="shared" si="7"/>
        <v>2.7844231019434913E-2</v>
      </c>
      <c r="N28" s="68">
        <f t="shared" si="7"/>
        <v>2.9269871747746534E-2</v>
      </c>
    </row>
    <row r="29" spans="2:14" x14ac:dyDescent="0.3">
      <c r="B29" s="8" t="s">
        <v>14</v>
      </c>
      <c r="C29" s="8"/>
      <c r="D29" s="20"/>
      <c r="E29" s="9"/>
      <c r="F29" s="19"/>
      <c r="G29" s="6"/>
      <c r="I29" s="63" t="s">
        <v>14</v>
      </c>
      <c r="J29" s="66"/>
      <c r="K29" s="64"/>
      <c r="L29" s="64"/>
      <c r="M29" s="64"/>
      <c r="N29" s="64"/>
    </row>
    <row r="30" spans="2:14" x14ac:dyDescent="0.3">
      <c r="B30" s="8" t="s">
        <v>138</v>
      </c>
      <c r="C30" s="6"/>
      <c r="D30" s="29"/>
      <c r="E30" s="9"/>
      <c r="F30" s="19"/>
      <c r="G30" s="6"/>
      <c r="I30" s="8" t="s">
        <v>138</v>
      </c>
      <c r="J30" s="66"/>
      <c r="K30" s="64"/>
      <c r="L30" s="64"/>
      <c r="M30" s="64"/>
      <c r="N30" s="64"/>
    </row>
    <row r="31" spans="2:14" x14ac:dyDescent="0.3">
      <c r="B31" s="8" t="s">
        <v>141</v>
      </c>
      <c r="C31" s="6">
        <v>900.69</v>
      </c>
      <c r="D31" s="83">
        <v>2339.2199999999998</v>
      </c>
      <c r="E31" s="35">
        <v>2088.62</v>
      </c>
      <c r="F31" s="19">
        <v>993.53</v>
      </c>
      <c r="G31" s="6">
        <v>931.12</v>
      </c>
      <c r="I31" s="8" t="s">
        <v>141</v>
      </c>
      <c r="J31" s="66">
        <f>C31/C43</f>
        <v>2.6710455653641938E-3</v>
      </c>
      <c r="K31" s="66">
        <f t="shared" ref="K31:N31" si="8">D31/D43</f>
        <v>8.0831437106184643E-3</v>
      </c>
      <c r="L31" s="66">
        <f t="shared" si="8"/>
        <v>7.820897398005686E-3</v>
      </c>
      <c r="M31" s="66">
        <f t="shared" si="8"/>
        <v>4.0649172434842592E-3</v>
      </c>
      <c r="N31" s="66">
        <f t="shared" si="8"/>
        <v>3.8607821334586206E-3</v>
      </c>
    </row>
    <row r="32" spans="2:14" x14ac:dyDescent="0.3">
      <c r="B32" s="8" t="s">
        <v>142</v>
      </c>
      <c r="C32" s="82">
        <v>13905.64</v>
      </c>
      <c r="D32" s="83">
        <v>12382.87</v>
      </c>
      <c r="E32" s="35">
        <v>15482.11</v>
      </c>
      <c r="F32" s="35">
        <v>10500.75</v>
      </c>
      <c r="G32" s="35">
        <v>6012.98</v>
      </c>
      <c r="I32" s="8" t="s">
        <v>142</v>
      </c>
      <c r="J32" s="66">
        <f>C32/C43</f>
        <v>4.1237937642863744E-2</v>
      </c>
      <c r="K32" s="66">
        <f t="shared" ref="K32:N32" si="9">D32/D43</f>
        <v>4.2788843187005106E-2</v>
      </c>
      <c r="L32" s="66">
        <f t="shared" si="9"/>
        <v>5.7973204227977242E-2</v>
      </c>
      <c r="M32" s="66">
        <f t="shared" si="9"/>
        <v>4.2962648077579275E-2</v>
      </c>
      <c r="N32" s="66">
        <f t="shared" si="9"/>
        <v>2.493213093139876E-2</v>
      </c>
    </row>
    <row r="33" spans="2:14" x14ac:dyDescent="0.3">
      <c r="B33" s="8" t="s">
        <v>135</v>
      </c>
      <c r="C33" s="82">
        <v>3662.84</v>
      </c>
      <c r="D33" s="83">
        <v>4022.72</v>
      </c>
      <c r="E33" s="35">
        <v>4717.99</v>
      </c>
      <c r="F33" s="83">
        <v>5189.9799999999996</v>
      </c>
      <c r="G33" s="82">
        <v>4931.49</v>
      </c>
      <c r="I33" s="8" t="s">
        <v>135</v>
      </c>
      <c r="J33" s="66">
        <f>C33/C43</f>
        <v>1.0862352794678062E-2</v>
      </c>
      <c r="K33" s="66">
        <f t="shared" ref="K33:N33" si="10">D33/D43</f>
        <v>1.3900455650849047E-2</v>
      </c>
      <c r="L33" s="66">
        <f t="shared" si="10"/>
        <v>1.7666648655483931E-2</v>
      </c>
      <c r="M33" s="66">
        <f t="shared" si="10"/>
        <v>2.1234224628686033E-2</v>
      </c>
      <c r="N33" s="66">
        <f t="shared" si="10"/>
        <v>2.0447856864131211E-2</v>
      </c>
    </row>
    <row r="34" spans="2:14" x14ac:dyDescent="0.3">
      <c r="B34" s="8" t="s">
        <v>77</v>
      </c>
      <c r="C34" s="82">
        <v>5915.1</v>
      </c>
      <c r="D34" s="82">
        <v>5429.36</v>
      </c>
      <c r="E34" s="35">
        <v>4341.78</v>
      </c>
      <c r="F34" s="35">
        <v>5651.5</v>
      </c>
      <c r="G34" s="29">
        <v>6690.07</v>
      </c>
      <c r="I34" s="63" t="s">
        <v>77</v>
      </c>
      <c r="J34" s="66">
        <f>C34/C43</f>
        <v>1.7541553279914003E-2</v>
      </c>
      <c r="K34" s="66">
        <f t="shared" ref="K34:N34" si="11">D34/D43</f>
        <v>1.876108153003286E-2</v>
      </c>
      <c r="L34" s="66">
        <f t="shared" si="11"/>
        <v>1.6257919537643578E-2</v>
      </c>
      <c r="M34" s="66">
        <f t="shared" si="11"/>
        <v>2.3122482261785041E-2</v>
      </c>
      <c r="N34" s="66">
        <f t="shared" si="11"/>
        <v>2.7739606847224325E-2</v>
      </c>
    </row>
    <row r="35" spans="2:14" x14ac:dyDescent="0.3">
      <c r="B35" s="8" t="s">
        <v>139</v>
      </c>
      <c r="C35" s="82">
        <v>2312.56</v>
      </c>
      <c r="D35" s="82">
        <v>2240.6999999999998</v>
      </c>
      <c r="E35" s="35">
        <v>2617.04</v>
      </c>
      <c r="F35" s="20">
        <v>3072.8</v>
      </c>
      <c r="G35" s="35">
        <v>1223.69</v>
      </c>
      <c r="I35" s="307" t="s">
        <v>81</v>
      </c>
      <c r="J35" s="288">
        <f>(C35+C36)/C43</f>
        <v>1.1012231934974397E-2</v>
      </c>
      <c r="K35" s="288">
        <f t="shared" ref="K35:N35" si="12">(D35+D36)/D43</f>
        <v>1.123914342215443E-2</v>
      </c>
      <c r="L35" s="288">
        <f t="shared" si="12"/>
        <v>1.8593981171985786E-2</v>
      </c>
      <c r="M35" s="288">
        <f t="shared" si="12"/>
        <v>1.5600873593278343E-2</v>
      </c>
      <c r="N35" s="288">
        <f t="shared" si="12"/>
        <v>7.9122565195997759E-3</v>
      </c>
    </row>
    <row r="36" spans="2:14" x14ac:dyDescent="0.3">
      <c r="B36" s="8" t="s">
        <v>143</v>
      </c>
      <c r="C36" s="82">
        <v>1400.82</v>
      </c>
      <c r="D36" s="83">
        <v>1011.85</v>
      </c>
      <c r="E36" s="35">
        <v>2348.6</v>
      </c>
      <c r="F36">
        <v>740.3</v>
      </c>
      <c r="G36" s="29">
        <v>684.54</v>
      </c>
      <c r="I36" s="307"/>
      <c r="J36" s="289"/>
      <c r="K36" s="289"/>
      <c r="L36" s="289"/>
      <c r="M36" s="289"/>
      <c r="N36" s="289"/>
    </row>
    <row r="37" spans="2:14" x14ac:dyDescent="0.3">
      <c r="B37" s="8" t="s">
        <v>78</v>
      </c>
      <c r="C37" s="82">
        <v>22342.080000000002</v>
      </c>
      <c r="D37" s="83">
        <v>14247.01</v>
      </c>
      <c r="E37" s="35">
        <v>14682.07</v>
      </c>
      <c r="F37" s="83">
        <v>14175</v>
      </c>
      <c r="G37" s="82">
        <v>17192.240000000002</v>
      </c>
      <c r="I37" s="8" t="s">
        <v>78</v>
      </c>
      <c r="J37" s="66">
        <f>C37/C43</f>
        <v>6.6256662897347648E-2</v>
      </c>
      <c r="K37" s="66">
        <f t="shared" ref="K37:N37" si="13">D37/D43</f>
        <v>4.9230354253391465E-2</v>
      </c>
      <c r="L37" s="66">
        <f t="shared" si="13"/>
        <v>5.497743153868935E-2</v>
      </c>
      <c r="M37" s="66">
        <f t="shared" si="13"/>
        <v>5.7995432373848174E-2</v>
      </c>
      <c r="N37" s="66">
        <f t="shared" si="13"/>
        <v>7.1285648494428908E-2</v>
      </c>
    </row>
    <row r="38" spans="2:14" x14ac:dyDescent="0.3">
      <c r="B38" s="8" t="s">
        <v>79</v>
      </c>
      <c r="C38" s="82">
        <v>2348.92</v>
      </c>
      <c r="D38" s="83">
        <v>2773.76</v>
      </c>
      <c r="E38" s="35">
        <v>2579.23</v>
      </c>
      <c r="F38" s="35">
        <v>1697.98</v>
      </c>
      <c r="G38" s="35">
        <v>1607.19</v>
      </c>
      <c r="I38" s="8" t="s">
        <v>79</v>
      </c>
      <c r="J38" s="66">
        <f>C38/C43</f>
        <v>6.9658510135510131E-3</v>
      </c>
      <c r="K38" s="66">
        <f t="shared" ref="K38:N38" si="14">D38/D43</f>
        <v>9.5846909220873092E-3</v>
      </c>
      <c r="L38" s="66">
        <f t="shared" si="14"/>
        <v>9.658000591710415E-3</v>
      </c>
      <c r="M38" s="66">
        <f t="shared" si="14"/>
        <v>6.947095891509469E-3</v>
      </c>
      <c r="N38" s="66">
        <f t="shared" si="14"/>
        <v>6.6640287364393E-3</v>
      </c>
    </row>
    <row r="39" spans="2:14" x14ac:dyDescent="0.3">
      <c r="B39" s="8" t="s">
        <v>15</v>
      </c>
      <c r="C39" s="82">
        <v>3.27</v>
      </c>
      <c r="D39" s="83">
        <v>0.11</v>
      </c>
      <c r="E39">
        <v>0.12</v>
      </c>
      <c r="F39">
        <v>0.38</v>
      </c>
      <c r="G39">
        <v>38.71</v>
      </c>
      <c r="I39" s="8"/>
      <c r="J39" s="66"/>
      <c r="K39" s="66"/>
      <c r="L39" s="66"/>
      <c r="M39" s="66"/>
      <c r="N39" s="66"/>
    </row>
    <row r="40" spans="2:14" x14ac:dyDescent="0.3">
      <c r="B40" s="8" t="s">
        <v>17</v>
      </c>
      <c r="C40" s="82">
        <v>3553.27</v>
      </c>
      <c r="D40" s="83">
        <v>2774.14</v>
      </c>
      <c r="E40" s="35">
        <v>2404.0300000000002</v>
      </c>
      <c r="F40" s="35">
        <v>2440.34</v>
      </c>
      <c r="G40" s="35">
        <v>2414.6799999999998</v>
      </c>
      <c r="I40" s="8" t="s">
        <v>17</v>
      </c>
      <c r="J40" s="66">
        <f>C40/C43</f>
        <v>1.0537416953715073E-2</v>
      </c>
      <c r="K40" s="66">
        <f t="shared" ref="K40:N40" si="15">D40/D43</f>
        <v>9.586004007051542E-3</v>
      </c>
      <c r="L40" s="66">
        <f t="shared" si="15"/>
        <v>9.0019591748272121E-3</v>
      </c>
      <c r="M40" s="66">
        <f t="shared" si="15"/>
        <v>9.98437907860294E-3</v>
      </c>
      <c r="N40" s="66">
        <f t="shared" si="15"/>
        <v>1.0012193274787204E-2</v>
      </c>
    </row>
    <row r="41" spans="2:14" x14ac:dyDescent="0.3">
      <c r="B41" s="22" t="s">
        <v>35</v>
      </c>
      <c r="C41" s="91">
        <v>67504.34</v>
      </c>
      <c r="D41" s="95">
        <v>56758.16</v>
      </c>
      <c r="E41" s="91">
        <v>57458.55</v>
      </c>
      <c r="F41" s="119"/>
      <c r="G41" s="95"/>
      <c r="I41" s="22" t="s">
        <v>35</v>
      </c>
      <c r="J41" s="66">
        <f>C41/C43</f>
        <v>0.2001878204485858</v>
      </c>
      <c r="K41" s="66">
        <f t="shared" ref="K41:N41" si="16">D41/D43</f>
        <v>0.19612706971993937</v>
      </c>
      <c r="L41" s="66">
        <f t="shared" si="16"/>
        <v>0.21515518581081272</v>
      </c>
      <c r="M41" s="66">
        <f t="shared" si="16"/>
        <v>0</v>
      </c>
      <c r="N41" s="66">
        <f t="shared" si="16"/>
        <v>0</v>
      </c>
    </row>
    <row r="42" spans="2:14" x14ac:dyDescent="0.3">
      <c r="B42" t="s">
        <v>144</v>
      </c>
      <c r="C42" s="88">
        <v>18.02</v>
      </c>
      <c r="D42" s="88">
        <v>9.5299999999999994</v>
      </c>
      <c r="E42" s="35">
        <v>2318.81</v>
      </c>
      <c r="F42" s="119">
        <v>1077.21</v>
      </c>
      <c r="G42" s="35">
        <v>1094.73</v>
      </c>
      <c r="I42" s="22"/>
      <c r="J42" s="66"/>
      <c r="K42" s="66"/>
      <c r="L42" s="66"/>
      <c r="M42" s="66"/>
      <c r="N42" s="66"/>
    </row>
    <row r="43" spans="2:14" ht="15" thickBot="1" x14ac:dyDescent="0.35">
      <c r="B43" s="11" t="s">
        <v>18</v>
      </c>
      <c r="C43" s="96">
        <v>337205.03</v>
      </c>
      <c r="D43" s="97">
        <v>289394.83</v>
      </c>
      <c r="E43" s="118">
        <v>267056.31</v>
      </c>
      <c r="F43" s="118">
        <v>244415.8</v>
      </c>
      <c r="G43" s="100">
        <v>241173.93</v>
      </c>
      <c r="I43" s="8" t="s">
        <v>18</v>
      </c>
      <c r="J43" s="66"/>
      <c r="K43" s="64"/>
      <c r="L43" s="64"/>
      <c r="M43" s="64"/>
      <c r="N43" s="64"/>
    </row>
    <row r="44" spans="2:14" ht="15" thickTop="1" x14ac:dyDescent="0.3">
      <c r="B44" s="5" t="s">
        <v>8</v>
      </c>
      <c r="C44" s="12"/>
      <c r="D44" s="20"/>
      <c r="F44" s="19"/>
      <c r="G44" s="6"/>
      <c r="I44" s="8" t="s">
        <v>80</v>
      </c>
      <c r="J44" s="66"/>
      <c r="K44" s="64"/>
      <c r="L44" s="64"/>
      <c r="M44" s="64"/>
      <c r="N44" s="64"/>
    </row>
    <row r="45" spans="2:14" x14ac:dyDescent="0.3">
      <c r="B45" s="7" t="s">
        <v>9</v>
      </c>
      <c r="C45" s="12"/>
      <c r="D45" s="20"/>
      <c r="F45" s="19"/>
      <c r="G45" s="6"/>
      <c r="I45" s="8" t="s">
        <v>9</v>
      </c>
      <c r="J45" s="66"/>
      <c r="K45" s="64"/>
      <c r="L45" s="64"/>
      <c r="M45" s="64"/>
      <c r="N45" s="64"/>
    </row>
    <row r="46" spans="2:14" x14ac:dyDescent="0.3">
      <c r="B46" s="8" t="s">
        <v>19</v>
      </c>
      <c r="C46" s="6">
        <v>131.69</v>
      </c>
      <c r="D46" s="19">
        <v>131.66999999999999</v>
      </c>
      <c r="E46">
        <v>131.62</v>
      </c>
      <c r="F46">
        <v>131.57</v>
      </c>
      <c r="G46">
        <v>131.53</v>
      </c>
      <c r="I46" s="8" t="s">
        <v>19</v>
      </c>
      <c r="J46" s="66">
        <f>C46/C43</f>
        <v>3.9053391344725787E-4</v>
      </c>
      <c r="K46" s="66">
        <f t="shared" ref="K46:N46" si="17">D46/D43</f>
        <v>4.5498394010701568E-4</v>
      </c>
      <c r="L46" s="66">
        <f t="shared" si="17"/>
        <v>4.9285485896214179E-4</v>
      </c>
      <c r="M46" s="66">
        <f t="shared" si="17"/>
        <v>5.3830398853101969E-4</v>
      </c>
      <c r="N46" s="66">
        <f t="shared" si="17"/>
        <v>5.4537403773285119E-4</v>
      </c>
    </row>
    <row r="47" spans="2:14" x14ac:dyDescent="0.3">
      <c r="B47" s="8" t="s">
        <v>20</v>
      </c>
      <c r="C47" s="82">
        <v>78610.3</v>
      </c>
      <c r="D47" s="83">
        <v>75566.559999999998</v>
      </c>
      <c r="E47" s="35">
        <v>65362.44</v>
      </c>
      <c r="F47" s="35">
        <v>56520.76</v>
      </c>
      <c r="G47" s="35">
        <v>57887.99</v>
      </c>
      <c r="I47" s="69" t="s">
        <v>20</v>
      </c>
      <c r="J47" s="70">
        <f>C47/C43</f>
        <v>0.23312315358996868</v>
      </c>
      <c r="K47" s="70">
        <f t="shared" ref="K47:N47" si="18">D47/D43</f>
        <v>0.26111924667071623</v>
      </c>
      <c r="L47" s="70">
        <f t="shared" si="18"/>
        <v>0.24475152824511057</v>
      </c>
      <c r="M47" s="70">
        <f t="shared" si="18"/>
        <v>0.23124838901576741</v>
      </c>
      <c r="N47" s="70">
        <f t="shared" si="18"/>
        <v>0.2400259016387053</v>
      </c>
    </row>
    <row r="48" spans="2:14" x14ac:dyDescent="0.3">
      <c r="B48" s="12" t="s">
        <v>145</v>
      </c>
      <c r="C48" s="99">
        <v>78741.990000000005</v>
      </c>
      <c r="D48" s="43">
        <v>75698.23</v>
      </c>
      <c r="E48" s="35">
        <v>65494.06</v>
      </c>
      <c r="F48" s="35">
        <v>56652.33</v>
      </c>
      <c r="G48" s="35">
        <v>58019.519999999997</v>
      </c>
      <c r="I48" s="139"/>
      <c r="J48" s="138"/>
      <c r="K48" s="138"/>
      <c r="L48" s="138"/>
      <c r="M48" s="138"/>
      <c r="N48" s="138"/>
    </row>
    <row r="49" spans="2:14" x14ac:dyDescent="0.3">
      <c r="B49" s="8" t="s">
        <v>146</v>
      </c>
      <c r="C49" s="89">
        <v>44170.83</v>
      </c>
      <c r="D49" s="86">
        <v>40476.480000000003</v>
      </c>
      <c r="E49" s="35">
        <v>37067.54</v>
      </c>
      <c r="F49" s="35">
        <v>34335.42</v>
      </c>
      <c r="G49" s="35">
        <v>30502.58</v>
      </c>
      <c r="I49" s="140"/>
      <c r="J49" s="138"/>
      <c r="K49" s="138"/>
      <c r="L49" s="138"/>
      <c r="M49" s="138"/>
      <c r="N49" s="138"/>
    </row>
    <row r="50" spans="2:14" x14ac:dyDescent="0.3">
      <c r="B50" s="22" t="s">
        <v>21</v>
      </c>
      <c r="C50" s="93">
        <v>122912.82</v>
      </c>
      <c r="D50" s="93">
        <v>116174.71</v>
      </c>
      <c r="E50" s="115">
        <v>102561.60000000001</v>
      </c>
      <c r="F50" s="35">
        <v>90987.75</v>
      </c>
      <c r="G50" s="35">
        <v>88522.1</v>
      </c>
      <c r="I50" s="8" t="s">
        <v>21</v>
      </c>
      <c r="J50" s="66">
        <f>C50/C43</f>
        <v>0.36450470504547339</v>
      </c>
      <c r="K50" s="66">
        <f t="shared" ref="K50:N50" si="19">D50/D43</f>
        <v>0.40144017085585115</v>
      </c>
      <c r="L50" s="66">
        <f t="shared" si="19"/>
        <v>0.38404484806968242</v>
      </c>
      <c r="M50" s="66">
        <f t="shared" si="19"/>
        <v>0.37226623647080098</v>
      </c>
      <c r="N50" s="66">
        <f t="shared" si="19"/>
        <v>0.3670467201824012</v>
      </c>
    </row>
    <row r="51" spans="2:14" x14ac:dyDescent="0.3">
      <c r="B51" s="7" t="s">
        <v>10</v>
      </c>
      <c r="C51" s="12"/>
      <c r="D51" s="20"/>
      <c r="F51" s="27"/>
      <c r="G51" s="6"/>
      <c r="I51" s="8" t="s">
        <v>10</v>
      </c>
      <c r="J51" s="66"/>
      <c r="K51" s="64"/>
      <c r="L51" s="64"/>
      <c r="M51" s="64"/>
      <c r="N51" s="64"/>
    </row>
    <row r="52" spans="2:14" ht="13.8" customHeight="1" x14ac:dyDescent="0.3">
      <c r="B52" s="12" t="s">
        <v>11</v>
      </c>
      <c r="C52" s="12"/>
      <c r="D52" s="20"/>
      <c r="F52" s="19"/>
      <c r="G52" s="6"/>
      <c r="I52" s="12" t="s">
        <v>11</v>
      </c>
      <c r="J52" s="66"/>
      <c r="K52" s="64"/>
      <c r="L52" s="64"/>
      <c r="M52" s="64"/>
      <c r="N52" s="64"/>
    </row>
    <row r="53" spans="2:14" x14ac:dyDescent="0.3">
      <c r="B53" s="8" t="s">
        <v>22</v>
      </c>
      <c r="C53" s="8"/>
      <c r="D53" s="20"/>
      <c r="F53" s="19"/>
      <c r="G53" s="6"/>
      <c r="I53" s="8"/>
      <c r="J53" s="66"/>
      <c r="K53" s="64"/>
      <c r="L53" s="64"/>
      <c r="M53" s="64"/>
      <c r="N53" s="64"/>
    </row>
    <row r="54" spans="2:14" x14ac:dyDescent="0.3">
      <c r="B54" s="8" t="s">
        <v>148</v>
      </c>
      <c r="C54" s="82">
        <v>66712.460000000006</v>
      </c>
      <c r="D54" s="83">
        <v>46545.96</v>
      </c>
      <c r="E54" s="35">
        <v>52488.25</v>
      </c>
      <c r="F54" s="35">
        <v>58745.91</v>
      </c>
      <c r="G54" s="35">
        <v>56686.1</v>
      </c>
      <c r="I54" s="308" t="s">
        <v>22</v>
      </c>
      <c r="J54" s="290">
        <f>(C54+C55+C56+C57)/C43</f>
        <v>0.40193288338551769</v>
      </c>
      <c r="K54" s="290">
        <f t="shared" ref="K54:N54" si="20">(D54+D55+D56+D57)/D43</f>
        <v>0.36628062774998432</v>
      </c>
      <c r="L54" s="290">
        <f t="shared" si="20"/>
        <v>0.38745158277668112</v>
      </c>
      <c r="M54" s="290">
        <f t="shared" si="20"/>
        <v>0.40653263823369851</v>
      </c>
      <c r="N54" s="290">
        <f t="shared" si="20"/>
        <v>0.3926805853352392</v>
      </c>
    </row>
    <row r="55" spans="2:14" x14ac:dyDescent="0.3">
      <c r="B55" s="8" t="s">
        <v>147</v>
      </c>
      <c r="C55" s="82">
        <v>1410.73</v>
      </c>
      <c r="D55" s="83">
        <v>1319.38</v>
      </c>
      <c r="E55" s="114">
        <v>1447.48</v>
      </c>
      <c r="F55" s="35">
        <v>1366.14</v>
      </c>
      <c r="G55" s="29"/>
      <c r="I55" s="308"/>
      <c r="J55" s="291"/>
      <c r="K55" s="291"/>
      <c r="L55" s="291"/>
      <c r="M55" s="291"/>
      <c r="N55" s="291"/>
    </row>
    <row r="56" spans="2:14" x14ac:dyDescent="0.3">
      <c r="B56" s="19" t="s">
        <v>150</v>
      </c>
      <c r="C56" s="82">
        <v>67012.03</v>
      </c>
      <c r="D56" s="83">
        <v>57705.64</v>
      </c>
      <c r="E56" s="35">
        <v>48991.25</v>
      </c>
      <c r="F56" s="35">
        <v>38915.800000000003</v>
      </c>
      <c r="G56" s="35">
        <v>37669.480000000003</v>
      </c>
      <c r="I56" s="308"/>
      <c r="J56" s="291"/>
      <c r="K56" s="291"/>
      <c r="L56" s="291"/>
      <c r="M56" s="291"/>
      <c r="N56" s="291"/>
    </row>
    <row r="57" spans="2:14" x14ac:dyDescent="0.3">
      <c r="B57" s="8" t="s">
        <v>149</v>
      </c>
      <c r="C57" s="6">
        <v>398.57</v>
      </c>
      <c r="D57" s="19">
        <v>428.74</v>
      </c>
      <c r="E57">
        <v>544.41</v>
      </c>
      <c r="F57" s="19">
        <v>335.15</v>
      </c>
      <c r="G57">
        <v>348.74</v>
      </c>
      <c r="I57" s="308"/>
      <c r="J57" s="292"/>
      <c r="K57" s="292"/>
      <c r="L57" s="292"/>
      <c r="M57" s="292"/>
      <c r="N57" s="292"/>
    </row>
    <row r="58" spans="2:14" x14ac:dyDescent="0.3">
      <c r="B58" s="8" t="s">
        <v>23</v>
      </c>
      <c r="C58" s="6">
        <v>765.81</v>
      </c>
      <c r="D58" s="19">
        <v>732.94</v>
      </c>
      <c r="E58">
        <v>424.58</v>
      </c>
      <c r="F58">
        <v>314.99</v>
      </c>
      <c r="G58">
        <v>252.25</v>
      </c>
      <c r="I58" s="8" t="s">
        <v>23</v>
      </c>
      <c r="J58" s="66">
        <f>C58/C43</f>
        <v>2.2710515320604795E-3</v>
      </c>
      <c r="K58" s="66">
        <f t="shared" ref="K58:N58" si="21">D58/D43</f>
        <v>2.532664457067184E-3</v>
      </c>
      <c r="L58" s="66">
        <f t="shared" si="21"/>
        <v>1.5898519679239183E-3</v>
      </c>
      <c r="M58" s="66">
        <f t="shared" si="21"/>
        <v>1.2887464722002426E-3</v>
      </c>
      <c r="N58" s="66">
        <f t="shared" si="21"/>
        <v>1.0459256520802228E-3</v>
      </c>
    </row>
    <row r="59" spans="2:14" x14ac:dyDescent="0.3">
      <c r="B59" s="8" t="s">
        <v>24</v>
      </c>
      <c r="C59" s="82">
        <v>8443.3799999999992</v>
      </c>
      <c r="D59" s="83">
        <v>8526.67</v>
      </c>
      <c r="E59" s="35">
        <v>8456.65</v>
      </c>
      <c r="F59" s="35">
        <v>6997.06</v>
      </c>
      <c r="G59" s="35">
        <v>8842.7800000000007</v>
      </c>
      <c r="I59" s="8" t="s">
        <v>24</v>
      </c>
      <c r="J59" s="66">
        <f>C59/C43</f>
        <v>2.5039306204892611E-2</v>
      </c>
      <c r="K59" s="66">
        <f t="shared" ref="K59:N59" si="22">D59/D43</f>
        <v>2.9463795189430299E-2</v>
      </c>
      <c r="L59" s="66">
        <f t="shared" si="22"/>
        <v>3.1666168082678893E-2</v>
      </c>
      <c r="M59" s="66">
        <f t="shared" si="22"/>
        <v>2.8627691008519092E-2</v>
      </c>
      <c r="N59" s="66">
        <f t="shared" si="22"/>
        <v>3.6665571606350658E-2</v>
      </c>
    </row>
    <row r="60" spans="2:14" x14ac:dyDescent="0.3">
      <c r="B60" s="8" t="s">
        <v>25</v>
      </c>
      <c r="C60" s="17">
        <v>16.239999999999998</v>
      </c>
      <c r="D60" s="4">
        <v>76.319999999999993</v>
      </c>
      <c r="E60">
        <v>132.19</v>
      </c>
      <c r="F60">
        <v>127.09</v>
      </c>
      <c r="G60">
        <v>87.03</v>
      </c>
      <c r="I60" s="8" t="s">
        <v>25</v>
      </c>
      <c r="J60" s="66">
        <f>C60/C43</f>
        <v>4.8160610178323842E-5</v>
      </c>
      <c r="K60" s="66">
        <f t="shared" ref="K60:N60" si="23">D60/D43</f>
        <v>2.6372274860611707E-4</v>
      </c>
      <c r="L60" s="66">
        <f t="shared" si="23"/>
        <v>4.9498924028419319E-4</v>
      </c>
      <c r="M60" s="66">
        <f t="shared" si="23"/>
        <v>5.199745679289146E-4</v>
      </c>
      <c r="N60" s="66">
        <f t="shared" si="23"/>
        <v>3.6085989891195951E-4</v>
      </c>
    </row>
    <row r="61" spans="2:14" x14ac:dyDescent="0.3">
      <c r="B61" s="22" t="s">
        <v>36</v>
      </c>
      <c r="C61" s="23">
        <v>144759.22</v>
      </c>
      <c r="D61" s="23">
        <v>115335.65</v>
      </c>
      <c r="E61" s="93">
        <v>112484.81</v>
      </c>
      <c r="F61" s="23"/>
      <c r="G61" s="26"/>
      <c r="I61" s="22" t="s">
        <v>36</v>
      </c>
      <c r="J61" s="66">
        <f>C61/C43</f>
        <v>0.42929140173264907</v>
      </c>
      <c r="K61" s="66">
        <f t="shared" ref="K61:N61" si="24">D61/D43</f>
        <v>0.39854081014508791</v>
      </c>
      <c r="L61" s="66">
        <f t="shared" si="24"/>
        <v>0.42120259206756805</v>
      </c>
      <c r="M61" s="66">
        <f t="shared" si="24"/>
        <v>0</v>
      </c>
      <c r="N61" s="66">
        <f t="shared" si="24"/>
        <v>0</v>
      </c>
    </row>
    <row r="62" spans="2:14" x14ac:dyDescent="0.3">
      <c r="B62" s="12" t="s">
        <v>26</v>
      </c>
      <c r="C62" s="12"/>
      <c r="D62" s="20"/>
      <c r="F62" s="19"/>
      <c r="G62" s="6"/>
      <c r="I62" s="12" t="s">
        <v>26</v>
      </c>
      <c r="J62" s="66"/>
      <c r="K62" s="64"/>
      <c r="L62" s="64"/>
      <c r="M62" s="64"/>
      <c r="N62" s="64"/>
    </row>
    <row r="63" spans="2:14" x14ac:dyDescent="0.3">
      <c r="B63" s="8" t="s">
        <v>22</v>
      </c>
      <c r="C63" s="8"/>
      <c r="D63" s="20"/>
      <c r="F63" s="19"/>
      <c r="G63" s="6"/>
      <c r="I63" s="308" t="s">
        <v>22</v>
      </c>
      <c r="J63" s="290">
        <f>(C64+C65+C66+C67)/C43</f>
        <v>0.10970556993174153</v>
      </c>
      <c r="K63" s="290">
        <f t="shared" ref="K63:N63" si="25">(D64+D65+D66+D67)/D43</f>
        <v>0.10382559356710001</v>
      </c>
      <c r="L63" s="290">
        <f t="shared" si="25"/>
        <v>5.1462517399420371E-2</v>
      </c>
      <c r="M63" s="290">
        <f t="shared" si="25"/>
        <v>5.9458390169538959E-2</v>
      </c>
      <c r="N63" s="290">
        <f t="shared" si="25"/>
        <v>8.6489696460973209E-2</v>
      </c>
    </row>
    <row r="64" spans="2:14" x14ac:dyDescent="0.3">
      <c r="B64" s="8" t="s">
        <v>148</v>
      </c>
      <c r="C64" s="83">
        <v>34635.46</v>
      </c>
      <c r="D64" s="83">
        <v>26457.29</v>
      </c>
      <c r="E64" s="35">
        <v>10037.040000000001</v>
      </c>
      <c r="F64" s="35">
        <v>11988.13</v>
      </c>
      <c r="G64" s="35">
        <v>18378.52</v>
      </c>
      <c r="I64" s="308"/>
      <c r="J64" s="291"/>
      <c r="K64" s="291"/>
      <c r="L64" s="291"/>
      <c r="M64" s="291"/>
      <c r="N64" s="291"/>
    </row>
    <row r="65" spans="2:14" x14ac:dyDescent="0.3">
      <c r="B65" s="8" t="s">
        <v>147</v>
      </c>
      <c r="C65" s="6">
        <v>279.91000000000003</v>
      </c>
      <c r="D65" s="19">
        <v>238.16</v>
      </c>
      <c r="E65">
        <v>221.13</v>
      </c>
      <c r="F65">
        <v>195.7</v>
      </c>
      <c r="G65" s="6"/>
      <c r="I65" s="308"/>
      <c r="J65" s="291"/>
      <c r="K65" s="291"/>
      <c r="L65" s="291"/>
      <c r="M65" s="291"/>
      <c r="N65" s="291"/>
    </row>
    <row r="66" spans="2:14" x14ac:dyDescent="0.3">
      <c r="B66" s="8" t="s">
        <v>151</v>
      </c>
      <c r="C66" s="19"/>
      <c r="D66" s="83">
        <v>183.4</v>
      </c>
      <c r="F66" s="19"/>
      <c r="G66" s="6"/>
      <c r="I66" s="308"/>
      <c r="J66" s="291"/>
      <c r="K66" s="291"/>
      <c r="L66" s="291"/>
      <c r="M66" s="291"/>
      <c r="N66" s="291"/>
    </row>
    <row r="67" spans="2:14" x14ac:dyDescent="0.3">
      <c r="B67" s="8" t="s">
        <v>150</v>
      </c>
      <c r="C67" s="82">
        <v>2077.9</v>
      </c>
      <c r="D67" s="83">
        <v>3167.74</v>
      </c>
      <c r="E67" s="35">
        <v>3485.22</v>
      </c>
      <c r="F67" s="35">
        <v>2348.7399999999998</v>
      </c>
      <c r="G67" s="35">
        <v>2480.54</v>
      </c>
      <c r="I67" s="308"/>
      <c r="J67" s="292"/>
      <c r="K67" s="292"/>
      <c r="L67" s="292"/>
      <c r="M67" s="292"/>
      <c r="N67" s="292"/>
    </row>
    <row r="68" spans="2:14" x14ac:dyDescent="0.3">
      <c r="B68" s="8" t="s">
        <v>152</v>
      </c>
      <c r="C68" s="6"/>
      <c r="D68" s="20"/>
      <c r="F68" s="19"/>
      <c r="G68" s="6"/>
      <c r="I68" s="8" t="s">
        <v>82</v>
      </c>
      <c r="J68" s="66"/>
      <c r="K68" s="64"/>
      <c r="L68" s="64"/>
      <c r="M68" s="64"/>
      <c r="N68" s="64"/>
    </row>
    <row r="69" spans="2:14" x14ac:dyDescent="0.3">
      <c r="B69" s="13" t="s">
        <v>31</v>
      </c>
      <c r="C69" s="6">
        <v>351.52</v>
      </c>
      <c r="D69" s="19">
        <v>244.28</v>
      </c>
      <c r="E69">
        <v>150.94</v>
      </c>
      <c r="F69">
        <v>83.15</v>
      </c>
      <c r="G69">
        <v>36.36</v>
      </c>
      <c r="I69" s="305" t="s">
        <v>83</v>
      </c>
      <c r="J69" s="293">
        <f>(C69+C70)/C43</f>
        <v>3.959985413028981E-2</v>
      </c>
      <c r="K69" s="293">
        <f t="shared" ref="K69:N69" si="26">(D69+D70)/D43</f>
        <v>3.9369880933947575E-2</v>
      </c>
      <c r="L69" s="293">
        <f t="shared" si="26"/>
        <v>3.041515851095224E-2</v>
      </c>
      <c r="M69" s="293">
        <f t="shared" si="26"/>
        <v>2.7365620389516551E-2</v>
      </c>
      <c r="N69" s="293">
        <f t="shared" si="26"/>
        <v>2.5225363288644009E-2</v>
      </c>
    </row>
    <row r="70" spans="2:14" ht="28.8" x14ac:dyDescent="0.3">
      <c r="B70" s="14" t="s">
        <v>32</v>
      </c>
      <c r="C70" s="82">
        <v>13001.75</v>
      </c>
      <c r="D70" s="83">
        <v>11149.16</v>
      </c>
      <c r="E70" s="35">
        <v>7971.62</v>
      </c>
      <c r="F70" s="35">
        <v>6605.44</v>
      </c>
      <c r="G70" s="35">
        <v>6047.34</v>
      </c>
      <c r="I70" s="306"/>
      <c r="J70" s="294"/>
      <c r="K70" s="294"/>
      <c r="L70" s="294"/>
      <c r="M70" s="294"/>
      <c r="N70" s="294"/>
    </row>
    <row r="71" spans="2:14" x14ac:dyDescent="0.3">
      <c r="B71" s="8" t="s">
        <v>149</v>
      </c>
      <c r="C71" s="82">
        <v>9859.01</v>
      </c>
      <c r="D71" s="83">
        <v>8166.09</v>
      </c>
      <c r="E71" s="35">
        <v>21647.19</v>
      </c>
      <c r="F71" s="35">
        <v>17920.54</v>
      </c>
      <c r="G71" s="35">
        <v>14419.25</v>
      </c>
      <c r="I71" s="64" t="s">
        <v>298</v>
      </c>
      <c r="J71" s="66">
        <f>C71/C43</f>
        <v>2.9237434566145113E-2</v>
      </c>
      <c r="K71" s="66">
        <f t="shared" ref="K71:N71" si="27">D71/D43</f>
        <v>2.8217815777842332E-2</v>
      </c>
      <c r="L71" s="66">
        <f t="shared" si="27"/>
        <v>8.1058522826141038E-2</v>
      </c>
      <c r="M71" s="66">
        <f t="shared" si="27"/>
        <v>7.3319891758225134E-2</v>
      </c>
      <c r="N71" s="66">
        <f t="shared" si="27"/>
        <v>5.9787763959396445E-2</v>
      </c>
    </row>
    <row r="72" spans="2:14" x14ac:dyDescent="0.3">
      <c r="B72" s="8" t="s">
        <v>153</v>
      </c>
      <c r="C72" s="82">
        <v>6438.15</v>
      </c>
      <c r="D72" s="83">
        <v>6445.02</v>
      </c>
      <c r="E72" s="35">
        <v>5587.44</v>
      </c>
      <c r="F72" s="35">
        <v>4561.0600000000004</v>
      </c>
      <c r="G72" s="35">
        <v>4779.3100000000004</v>
      </c>
      <c r="I72" s="142" t="s">
        <v>27</v>
      </c>
      <c r="J72" s="141">
        <f>C72/C43</f>
        <v>1.9092686725343328E-2</v>
      </c>
      <c r="K72" s="141">
        <f t="shared" ref="K72:N72" si="28">D72/D43</f>
        <v>2.2270681200490004E-2</v>
      </c>
      <c r="L72" s="141">
        <f t="shared" si="28"/>
        <v>2.0922329077339531E-2</v>
      </c>
      <c r="M72" s="141">
        <f t="shared" si="28"/>
        <v>1.8661068556124445E-2</v>
      </c>
      <c r="N72" s="141">
        <f t="shared" si="28"/>
        <v>1.9816859973215185E-2</v>
      </c>
    </row>
    <row r="73" spans="2:14" x14ac:dyDescent="0.3">
      <c r="B73" s="8" t="s">
        <v>23</v>
      </c>
      <c r="C73" s="6">
        <v>722.47</v>
      </c>
      <c r="D73" s="19">
        <v>815.74</v>
      </c>
      <c r="E73" s="35">
        <v>1080.1500000000001</v>
      </c>
      <c r="F73" s="35">
        <v>1311.82</v>
      </c>
      <c r="G73" s="35">
        <v>1230.93</v>
      </c>
      <c r="I73" s="64" t="s">
        <v>23</v>
      </c>
      <c r="J73" s="66">
        <f>C73/C43</f>
        <v>2.1425243864244847E-3</v>
      </c>
      <c r="K73" s="66">
        <f t="shared" ref="K73:N73" si="29">D73/D43</f>
        <v>2.8187787598002354E-3</v>
      </c>
      <c r="L73" s="66">
        <f t="shared" si="29"/>
        <v>4.0446526052876266E-3</v>
      </c>
      <c r="M73" s="66">
        <f t="shared" si="29"/>
        <v>5.3671652978244449E-3</v>
      </c>
      <c r="N73" s="66">
        <f t="shared" si="29"/>
        <v>5.1039098628943855E-3</v>
      </c>
    </row>
    <row r="74" spans="2:14" x14ac:dyDescent="0.3">
      <c r="B74" s="8" t="s">
        <v>28</v>
      </c>
      <c r="C74" s="89">
        <v>2166.8200000000002</v>
      </c>
      <c r="D74" s="86">
        <v>1017.59</v>
      </c>
      <c r="E74" s="35">
        <v>1243.21</v>
      </c>
      <c r="F74" s="35">
        <v>1122.33</v>
      </c>
      <c r="G74">
        <v>904.2</v>
      </c>
      <c r="I74" s="8" t="s">
        <v>28</v>
      </c>
      <c r="J74" s="66">
        <f>C74/C43</f>
        <v>6.4258234819332318E-3</v>
      </c>
      <c r="K74" s="66">
        <f t="shared" ref="K74:N74" si="30">D74/D43</f>
        <v>3.5162687598807485E-3</v>
      </c>
      <c r="L74" s="66">
        <f t="shared" si="30"/>
        <v>4.6552354445397676E-3</v>
      </c>
      <c r="M74" s="66">
        <f t="shared" si="30"/>
        <v>4.5918880857947807E-3</v>
      </c>
      <c r="N74" s="66">
        <f t="shared" si="30"/>
        <v>3.7491614454348366E-3</v>
      </c>
    </row>
    <row r="75" spans="2:14" x14ac:dyDescent="0.3">
      <c r="B75" s="22" t="s">
        <v>37</v>
      </c>
      <c r="C75" s="35">
        <v>69532.990000000005</v>
      </c>
      <c r="D75" s="35">
        <v>57884.47</v>
      </c>
      <c r="E75" s="35">
        <v>51423.94</v>
      </c>
      <c r="F75" s="143">
        <f>SUM(F64:F74)</f>
        <v>46136.909999999996</v>
      </c>
      <c r="G75" s="80">
        <f>SUM(G64:G74)</f>
        <v>48276.45</v>
      </c>
      <c r="I75" s="22" t="s">
        <v>37</v>
      </c>
      <c r="J75" s="66">
        <f>C75/C43</f>
        <v>0.20620389322187749</v>
      </c>
      <c r="K75" s="66">
        <f t="shared" ref="K75:N75" si="31">D75/D43</f>
        <v>0.20001901899906088</v>
      </c>
      <c r="L75" s="66">
        <f t="shared" si="31"/>
        <v>0.19255841586368058</v>
      </c>
      <c r="M75" s="66">
        <f t="shared" si="31"/>
        <v>0.18876402425702429</v>
      </c>
      <c r="N75" s="66">
        <f t="shared" si="31"/>
        <v>0.20017275499055806</v>
      </c>
    </row>
    <row r="76" spans="2:14" x14ac:dyDescent="0.3">
      <c r="B76" t="s">
        <v>278</v>
      </c>
      <c r="C76" s="35"/>
      <c r="D76" s="35"/>
      <c r="E76">
        <v>585.96</v>
      </c>
      <c r="F76">
        <v>489</v>
      </c>
      <c r="G76">
        <v>489</v>
      </c>
      <c r="I76" s="22"/>
      <c r="J76" s="66"/>
      <c r="K76" s="66"/>
      <c r="L76" s="66"/>
      <c r="M76" s="66"/>
      <c r="N76" s="66"/>
    </row>
    <row r="77" spans="2:14" x14ac:dyDescent="0.3">
      <c r="B77" s="12" t="s">
        <v>30</v>
      </c>
      <c r="C77" s="26">
        <f>C61+C75</f>
        <v>214292.21000000002</v>
      </c>
      <c r="D77" s="26">
        <f t="shared" ref="D77:G77" si="32">D61+D75</f>
        <v>173220.12</v>
      </c>
      <c r="E77" s="26">
        <f t="shared" si="32"/>
        <v>163908.75</v>
      </c>
      <c r="F77" s="26">
        <f t="shared" si="32"/>
        <v>46136.909999999996</v>
      </c>
      <c r="G77" s="26">
        <f t="shared" si="32"/>
        <v>48276.45</v>
      </c>
      <c r="I77" s="12" t="s">
        <v>30</v>
      </c>
      <c r="J77" s="66">
        <f>C77/C43</f>
        <v>0.63549529495452661</v>
      </c>
      <c r="K77" s="66">
        <f t="shared" ref="K77:N77" si="33">D77/D43</f>
        <v>0.59855982914414885</v>
      </c>
      <c r="L77" s="66">
        <f t="shared" si="33"/>
        <v>0.61376100793124866</v>
      </c>
      <c r="M77" s="66">
        <f t="shared" si="33"/>
        <v>0.18876402425702429</v>
      </c>
      <c r="N77" s="66">
        <f t="shared" si="33"/>
        <v>0.20017275499055806</v>
      </c>
    </row>
    <row r="78" spans="2:14" ht="15" thickBot="1" x14ac:dyDescent="0.35">
      <c r="B78" s="11" t="s">
        <v>29</v>
      </c>
      <c r="C78" s="100">
        <v>337205.03</v>
      </c>
      <c r="D78" s="100">
        <v>289394.83</v>
      </c>
      <c r="E78" s="100">
        <v>267056.31</v>
      </c>
      <c r="F78" s="100">
        <v>244415.8</v>
      </c>
      <c r="G78" s="100">
        <v>241173.93</v>
      </c>
      <c r="I78" s="8" t="s">
        <v>29</v>
      </c>
      <c r="J78" s="64"/>
      <c r="K78" s="64"/>
      <c r="L78" s="64"/>
      <c r="M78" s="64"/>
      <c r="N78" s="64"/>
    </row>
    <row r="79" spans="2:14" ht="15" thickTop="1" x14ac:dyDescent="0.3">
      <c r="B79" s="8"/>
      <c r="C79" s="8"/>
      <c r="D79" s="20"/>
      <c r="F79" s="19"/>
      <c r="G79" s="6"/>
    </row>
    <row r="80" spans="2:14" x14ac:dyDescent="0.3">
      <c r="B80" s="15"/>
      <c r="C80" s="15"/>
      <c r="D80" s="28"/>
      <c r="E80" s="16"/>
      <c r="F80" s="4"/>
      <c r="G80" s="17"/>
    </row>
    <row r="83" spans="2:10" ht="15" thickBot="1" x14ac:dyDescent="0.35">
      <c r="B83" t="s">
        <v>294</v>
      </c>
      <c r="C83" s="146">
        <v>65.84</v>
      </c>
      <c r="D83" s="146">
        <v>65.84</v>
      </c>
      <c r="E83" s="146">
        <v>65.84</v>
      </c>
      <c r="F83" s="146">
        <v>65.84</v>
      </c>
      <c r="G83" s="146">
        <v>65.84</v>
      </c>
    </row>
    <row r="84" spans="2:10" x14ac:dyDescent="0.3">
      <c r="B84" t="s">
        <v>38</v>
      </c>
      <c r="C84" s="144">
        <v>1632.7</v>
      </c>
      <c r="D84" s="145">
        <v>1664</v>
      </c>
      <c r="E84" s="145">
        <v>1450.55</v>
      </c>
      <c r="F84" s="147">
        <v>476.1</v>
      </c>
      <c r="G84" s="147">
        <v>830.15</v>
      </c>
    </row>
    <row r="85" spans="2:10" s="72" customFormat="1" x14ac:dyDescent="0.3">
      <c r="B85" s="73" t="s">
        <v>84</v>
      </c>
      <c r="C85" s="74">
        <f>C50/C83</f>
        <v>1866.8411300121506</v>
      </c>
      <c r="D85" s="74">
        <f t="shared" ref="D85:G85" si="34">D50/D83</f>
        <v>1764.5004556500608</v>
      </c>
      <c r="E85" s="74">
        <f t="shared" si="34"/>
        <v>1557.7399756986633</v>
      </c>
      <c r="F85" s="74">
        <f t="shared" si="34"/>
        <v>1381.9524605103279</v>
      </c>
      <c r="G85" s="74">
        <f t="shared" si="34"/>
        <v>1344.5033414337788</v>
      </c>
    </row>
    <row r="86" spans="2:10" x14ac:dyDescent="0.3">
      <c r="B86" t="s">
        <v>85</v>
      </c>
      <c r="H86" t="s">
        <v>86</v>
      </c>
      <c r="J86" t="s">
        <v>127</v>
      </c>
    </row>
    <row r="88" spans="2:10" x14ac:dyDescent="0.3">
      <c r="C88" s="55"/>
      <c r="D88" s="55"/>
      <c r="E88" s="55"/>
      <c r="F88" s="55"/>
      <c r="G88" s="55"/>
    </row>
    <row r="89" spans="2:10" x14ac:dyDescent="0.3">
      <c r="G89" s="58"/>
    </row>
    <row r="90" spans="2:10" x14ac:dyDescent="0.3">
      <c r="C90" s="55"/>
      <c r="D90" s="55"/>
      <c r="E90" s="55"/>
      <c r="F90" s="55"/>
      <c r="G90" s="55"/>
    </row>
    <row r="92" spans="2:10" x14ac:dyDescent="0.3">
      <c r="C92" s="56"/>
      <c r="D92" s="56"/>
      <c r="E92" s="56"/>
    </row>
    <row r="96" spans="2:10" x14ac:dyDescent="0.3">
      <c r="C96" s="9"/>
    </row>
    <row r="97" spans="2:4" x14ac:dyDescent="0.3">
      <c r="C97" s="55"/>
    </row>
    <row r="99" spans="2:4" x14ac:dyDescent="0.3">
      <c r="C99" s="58"/>
      <c r="D99" s="58"/>
    </row>
    <row r="101" spans="2:4" x14ac:dyDescent="0.3">
      <c r="C101" s="55"/>
    </row>
    <row r="102" spans="2:4" x14ac:dyDescent="0.3">
      <c r="C102" s="55"/>
    </row>
    <row r="103" spans="2:4" x14ac:dyDescent="0.3">
      <c r="C103" s="56"/>
    </row>
    <row r="107" spans="2:4" x14ac:dyDescent="0.3">
      <c r="B107" s="31" t="s">
        <v>87</v>
      </c>
    </row>
    <row r="108" spans="2:4" x14ac:dyDescent="0.3">
      <c r="B108" s="31"/>
    </row>
    <row r="109" spans="2:4" x14ac:dyDescent="0.3">
      <c r="B109" s="31" t="s">
        <v>88</v>
      </c>
      <c r="C109" s="55"/>
    </row>
    <row r="110" spans="2:4" x14ac:dyDescent="0.3">
      <c r="B110" s="31"/>
    </row>
    <row r="111" spans="2:4" x14ac:dyDescent="0.3">
      <c r="B111" s="31" t="s">
        <v>89</v>
      </c>
      <c r="C111" s="9"/>
    </row>
    <row r="112" spans="2:4" x14ac:dyDescent="0.3">
      <c r="B112" s="31"/>
    </row>
    <row r="113" spans="2:3" x14ac:dyDescent="0.3">
      <c r="B113" s="31" t="s">
        <v>90</v>
      </c>
      <c r="C113" s="55"/>
    </row>
    <row r="116" spans="2:3" x14ac:dyDescent="0.3">
      <c r="B116" t="s">
        <v>91</v>
      </c>
    </row>
    <row r="117" spans="2:3" x14ac:dyDescent="0.3">
      <c r="B117" t="s">
        <v>92</v>
      </c>
      <c r="C117" s="9"/>
    </row>
    <row r="118" spans="2:3" x14ac:dyDescent="0.3">
      <c r="B118" t="s">
        <v>93</v>
      </c>
      <c r="C118" s="9"/>
    </row>
    <row r="119" spans="2:3" x14ac:dyDescent="0.3">
      <c r="B119" s="71" t="s">
        <v>94</v>
      </c>
      <c r="C119" s="75"/>
    </row>
    <row r="120" spans="2:3" x14ac:dyDescent="0.3">
      <c r="B120" t="s">
        <v>95</v>
      </c>
      <c r="C120" s="55"/>
    </row>
    <row r="123" spans="2:3" x14ac:dyDescent="0.3">
      <c r="B123" t="s">
        <v>96</v>
      </c>
      <c r="C123" s="55"/>
    </row>
    <row r="124" spans="2:3" x14ac:dyDescent="0.3">
      <c r="B124" t="s">
        <v>97</v>
      </c>
    </row>
  </sheetData>
  <mergeCells count="33">
    <mergeCell ref="I69:I70"/>
    <mergeCell ref="I35:I36"/>
    <mergeCell ref="J35:J36"/>
    <mergeCell ref="K35:K36"/>
    <mergeCell ref="L35:L36"/>
    <mergeCell ref="I54:I57"/>
    <mergeCell ref="I63:I67"/>
    <mergeCell ref="J63:J67"/>
    <mergeCell ref="K63:K67"/>
    <mergeCell ref="L63:L67"/>
    <mergeCell ref="J54:J57"/>
    <mergeCell ref="K54:K57"/>
    <mergeCell ref="L54:L57"/>
    <mergeCell ref="B2:G2"/>
    <mergeCell ref="B3:G3"/>
    <mergeCell ref="I16:I22"/>
    <mergeCell ref="J3:N3"/>
    <mergeCell ref="J16:J22"/>
    <mergeCell ref="K16:K22"/>
    <mergeCell ref="L16:L22"/>
    <mergeCell ref="M16:M22"/>
    <mergeCell ref="N16:N22"/>
    <mergeCell ref="N35:N36"/>
    <mergeCell ref="M54:M57"/>
    <mergeCell ref="N54:N57"/>
    <mergeCell ref="J69:J70"/>
    <mergeCell ref="K69:K70"/>
    <mergeCell ref="L69:L70"/>
    <mergeCell ref="M69:M70"/>
    <mergeCell ref="N69:N70"/>
    <mergeCell ref="M63:M67"/>
    <mergeCell ref="N63:N67"/>
    <mergeCell ref="M35:M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ECFF"/>
  </sheetPr>
  <dimension ref="B2:V83"/>
  <sheetViews>
    <sheetView zoomScale="90" zoomScaleNormal="9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Q14" sqref="Q14"/>
    </sheetView>
  </sheetViews>
  <sheetFormatPr defaultRowHeight="14.4" x14ac:dyDescent="0.3"/>
  <cols>
    <col min="1" max="1" width="4.6640625" customWidth="1"/>
    <col min="2" max="2" width="70" bestFit="1" customWidth="1"/>
    <col min="3" max="3" width="13.109375" customWidth="1"/>
    <col min="4" max="7" width="9.88671875" bestFit="1" customWidth="1"/>
    <col min="10" max="10" width="48.88671875" customWidth="1"/>
    <col min="11" max="11" width="11" customWidth="1"/>
    <col min="12" max="12" width="11.88671875" customWidth="1"/>
    <col min="13" max="13" width="12" customWidth="1"/>
    <col min="17" max="17" width="57.109375" customWidth="1"/>
    <col min="18" max="18" width="24.21875" bestFit="1" customWidth="1"/>
    <col min="19" max="22" width="13.77734375" bestFit="1" customWidth="1"/>
  </cols>
  <sheetData>
    <row r="2" spans="2:22" ht="15.6" x14ac:dyDescent="0.3">
      <c r="B2" s="295" t="s">
        <v>156</v>
      </c>
      <c r="C2" s="296"/>
      <c r="D2" s="296"/>
      <c r="E2" s="296"/>
      <c r="F2" s="296"/>
      <c r="G2" s="297"/>
      <c r="J2" s="309" t="s">
        <v>98</v>
      </c>
      <c r="K2" s="309"/>
      <c r="L2" s="309"/>
      <c r="M2" s="309"/>
      <c r="N2" s="309"/>
      <c r="O2" s="309"/>
      <c r="Q2" s="309" t="s">
        <v>112</v>
      </c>
      <c r="R2" s="309"/>
      <c r="S2" s="309"/>
      <c r="T2" s="309"/>
      <c r="U2" s="309"/>
      <c r="V2" s="309"/>
    </row>
    <row r="3" spans="2:22" ht="28.8" x14ac:dyDescent="0.3">
      <c r="B3" s="298" t="s">
        <v>157</v>
      </c>
      <c r="C3" s="299"/>
      <c r="D3" s="299"/>
      <c r="E3" s="299"/>
      <c r="F3" s="299"/>
      <c r="G3" s="300"/>
      <c r="J3" s="36" t="s">
        <v>0</v>
      </c>
      <c r="K3" s="1" t="s">
        <v>60</v>
      </c>
      <c r="L3" s="30" t="s">
        <v>61</v>
      </c>
      <c r="M3" s="1" t="s">
        <v>57</v>
      </c>
      <c r="N3" s="18" t="s">
        <v>62</v>
      </c>
      <c r="O3" s="1" t="s">
        <v>63</v>
      </c>
      <c r="Q3" s="36" t="s">
        <v>0</v>
      </c>
      <c r="R3" s="1" t="s">
        <v>60</v>
      </c>
      <c r="S3" s="30" t="s">
        <v>61</v>
      </c>
      <c r="T3" s="1" t="s">
        <v>57</v>
      </c>
      <c r="U3" s="18" t="s">
        <v>62</v>
      </c>
      <c r="V3" s="1" t="s">
        <v>63</v>
      </c>
    </row>
    <row r="4" spans="2:22" ht="28.8" x14ac:dyDescent="0.3">
      <c r="B4" s="36" t="s">
        <v>0</v>
      </c>
      <c r="C4" s="1" t="s">
        <v>60</v>
      </c>
      <c r="D4" s="30" t="s">
        <v>61</v>
      </c>
      <c r="E4" s="1" t="s">
        <v>57</v>
      </c>
      <c r="F4" s="18" t="s">
        <v>62</v>
      </c>
      <c r="G4" s="1" t="s">
        <v>63</v>
      </c>
      <c r="J4" s="76"/>
      <c r="K4" s="64"/>
      <c r="L4" s="64"/>
      <c r="M4" s="64"/>
      <c r="N4" s="64"/>
      <c r="O4" s="64"/>
      <c r="Q4" s="77" t="s">
        <v>113</v>
      </c>
      <c r="R4" s="66">
        <f>(C5/D5)-1</f>
        <v>0.22910858001363188</v>
      </c>
      <c r="S4" s="66">
        <f t="shared" ref="S4:U4" si="0">(D5/E5)-1</f>
        <v>0.25266849926719104</v>
      </c>
      <c r="T4" s="66">
        <f t="shared" si="0"/>
        <v>-1.5810478827080532E-2</v>
      </c>
      <c r="U4" s="66">
        <f t="shared" si="0"/>
        <v>5.5032205206591023E-3</v>
      </c>
      <c r="V4" s="66"/>
    </row>
    <row r="5" spans="2:22" x14ac:dyDescent="0.3">
      <c r="B5" s="40" t="s">
        <v>39</v>
      </c>
      <c r="C5" s="102">
        <v>117627.08</v>
      </c>
      <c r="D5" s="35">
        <v>95701.13</v>
      </c>
      <c r="E5" s="90">
        <v>76397.81</v>
      </c>
      <c r="F5" s="35">
        <v>77625.100000000006</v>
      </c>
      <c r="G5" s="90">
        <v>77200.25</v>
      </c>
      <c r="J5" s="64" t="s">
        <v>99</v>
      </c>
      <c r="K5" s="66">
        <f>C5/C7</f>
        <v>0.97020722600038456</v>
      </c>
      <c r="L5" s="66">
        <f t="shared" ref="L5:O5" si="1">D5/D7</f>
        <v>0.9914906860547601</v>
      </c>
      <c r="M5" s="66">
        <f t="shared" si="1"/>
        <v>0.98641751938062561</v>
      </c>
      <c r="N5" s="66">
        <f t="shared" si="1"/>
        <v>0.98770086565109727</v>
      </c>
      <c r="O5" s="66">
        <f t="shared" si="1"/>
        <v>0.9893923894440888</v>
      </c>
      <c r="Q5" s="64"/>
      <c r="R5" s="64"/>
      <c r="S5" s="64"/>
      <c r="T5" s="64"/>
      <c r="U5" s="64"/>
      <c r="V5" s="64"/>
    </row>
    <row r="6" spans="2:22" x14ac:dyDescent="0.3">
      <c r="B6" s="19" t="s">
        <v>40</v>
      </c>
      <c r="C6" s="86">
        <v>3612.05</v>
      </c>
      <c r="D6">
        <v>821.34</v>
      </c>
      <c r="E6" s="82">
        <v>1051.96</v>
      </c>
      <c r="F6">
        <v>966.61</v>
      </c>
      <c r="G6" s="83">
        <v>827.69</v>
      </c>
      <c r="J6" s="64" t="s">
        <v>100</v>
      </c>
      <c r="K6" s="66">
        <f>C6/C7</f>
        <v>2.9792773999615472E-2</v>
      </c>
      <c r="L6" s="66">
        <f t="shared" ref="L6:O6" si="2">D6/D7</f>
        <v>8.5093139452399012E-3</v>
      </c>
      <c r="M6" s="66">
        <f t="shared" si="2"/>
        <v>1.3582480619374337E-2</v>
      </c>
      <c r="N6" s="66">
        <f t="shared" si="2"/>
        <v>1.2299134348902702E-2</v>
      </c>
      <c r="O6" s="66">
        <f t="shared" si="2"/>
        <v>1.0607610555911126E-2</v>
      </c>
      <c r="Q6" s="64"/>
      <c r="R6" s="64"/>
      <c r="S6" s="64"/>
      <c r="T6" s="64"/>
      <c r="U6" s="64"/>
      <c r="V6" s="64"/>
    </row>
    <row r="7" spans="2:22" x14ac:dyDescent="0.3">
      <c r="B7" s="44" t="s">
        <v>166</v>
      </c>
      <c r="C7" s="101">
        <v>121239.13</v>
      </c>
      <c r="D7" s="103">
        <v>96522.47</v>
      </c>
      <c r="E7" s="101">
        <v>77449.77</v>
      </c>
      <c r="F7" s="104">
        <v>78591.710000000006</v>
      </c>
      <c r="G7" s="101">
        <v>78027.94</v>
      </c>
      <c r="J7" s="64"/>
      <c r="K7" s="64"/>
      <c r="L7" s="64"/>
      <c r="M7" s="64"/>
      <c r="N7" s="64"/>
      <c r="O7" s="64"/>
      <c r="Q7" s="77" t="s">
        <v>114</v>
      </c>
      <c r="R7" s="66">
        <f>(C33/D33)-1</f>
        <v>3.6260996861714467E-2</v>
      </c>
      <c r="S7" s="66">
        <f t="shared" ref="S7:U7" si="3">(D33/E33)-1</f>
        <v>0.5839635277453461</v>
      </c>
      <c r="T7" s="66">
        <f t="shared" si="3"/>
        <v>1.0746569064976619E-2</v>
      </c>
      <c r="U7" s="66">
        <f t="shared" si="3"/>
        <v>1.4328278816937123</v>
      </c>
      <c r="V7" s="66"/>
    </row>
    <row r="8" spans="2:22" x14ac:dyDescent="0.3">
      <c r="B8" s="38" t="s">
        <v>41</v>
      </c>
      <c r="C8" s="38"/>
      <c r="D8" s="57"/>
      <c r="E8" s="20"/>
      <c r="F8" s="9"/>
      <c r="G8" s="20"/>
      <c r="J8" s="64"/>
      <c r="K8" s="64"/>
      <c r="L8" s="64"/>
      <c r="M8" s="64"/>
      <c r="N8" s="64"/>
      <c r="O8" s="64"/>
      <c r="Q8" s="64"/>
      <c r="R8" s="64"/>
      <c r="S8" s="64"/>
      <c r="T8" s="64"/>
      <c r="U8" s="64"/>
      <c r="V8" s="64"/>
    </row>
    <row r="9" spans="2:22" x14ac:dyDescent="0.3">
      <c r="B9" s="109" t="s">
        <v>43</v>
      </c>
      <c r="C9" s="87">
        <v>21622.26</v>
      </c>
      <c r="D9" s="83">
        <v>16889.599999999999</v>
      </c>
      <c r="E9" s="83">
        <v>11006.75</v>
      </c>
      <c r="F9" s="83">
        <v>14618.05</v>
      </c>
      <c r="G9" s="82">
        <v>15261.12</v>
      </c>
      <c r="J9" s="310" t="s">
        <v>101</v>
      </c>
      <c r="K9" s="313">
        <f>(C9+C10+C11)/C5</f>
        <v>0.20642585023788737</v>
      </c>
      <c r="L9" s="313">
        <f t="shared" ref="L9:O9" si="4">(D9+D10+D11)/D5</f>
        <v>0.20079073256501778</v>
      </c>
      <c r="M9" s="313">
        <f t="shared" si="4"/>
        <v>0.16530866526147805</v>
      </c>
      <c r="N9" s="313">
        <f t="shared" si="4"/>
        <v>0.21402626212397793</v>
      </c>
      <c r="O9" s="313">
        <f t="shared" si="4"/>
        <v>0.21823789430733709</v>
      </c>
      <c r="Q9" s="77" t="s">
        <v>115</v>
      </c>
      <c r="R9" s="80">
        <f>C5-C17+C21</f>
        <v>219536.97</v>
      </c>
      <c r="S9" s="80">
        <f t="shared" ref="S9:V9" si="5">D5-D17+D21</f>
        <v>176427.66</v>
      </c>
      <c r="T9" s="80">
        <f t="shared" si="5"/>
        <v>140009.03999999998</v>
      </c>
      <c r="U9" s="80">
        <f t="shared" si="5"/>
        <v>144162.28</v>
      </c>
      <c r="V9" s="80">
        <f t="shared" si="5"/>
        <v>143355.21000000002</v>
      </c>
    </row>
    <row r="10" spans="2:22" x14ac:dyDescent="0.3">
      <c r="B10" s="109" t="s">
        <v>44</v>
      </c>
      <c r="C10" s="87">
        <v>1824.35</v>
      </c>
      <c r="D10" s="83">
        <v>1404.56</v>
      </c>
      <c r="E10" s="19">
        <v>898.44</v>
      </c>
      <c r="F10" s="83">
        <v>1469.86</v>
      </c>
      <c r="G10" s="82">
        <v>1507.01</v>
      </c>
      <c r="J10" s="311"/>
      <c r="K10" s="314"/>
      <c r="L10" s="314"/>
      <c r="M10" s="314"/>
      <c r="N10" s="314"/>
      <c r="O10" s="314"/>
      <c r="Q10" s="77"/>
      <c r="R10" s="80"/>
      <c r="S10" s="80"/>
      <c r="T10" s="80"/>
      <c r="U10" s="80"/>
      <c r="V10" s="80"/>
    </row>
    <row r="11" spans="2:22" x14ac:dyDescent="0.3">
      <c r="B11" s="112" t="s">
        <v>45</v>
      </c>
      <c r="C11" s="8">
        <v>834.66</v>
      </c>
      <c r="D11" s="19">
        <v>921.74</v>
      </c>
      <c r="E11" s="19">
        <v>724.03</v>
      </c>
      <c r="F11" s="19">
        <v>525.9</v>
      </c>
      <c r="G11" s="6">
        <v>79.89</v>
      </c>
      <c r="J11" s="312"/>
      <c r="K11" s="315"/>
      <c r="L11" s="315"/>
      <c r="M11" s="315"/>
      <c r="N11" s="315"/>
      <c r="O11" s="315"/>
      <c r="Q11" s="77" t="s">
        <v>116</v>
      </c>
      <c r="R11" s="66">
        <f>R9/C5</f>
        <v>1.8663811938543404</v>
      </c>
      <c r="S11" s="66">
        <f t="shared" ref="S11:V11" si="6">S9/D5</f>
        <v>1.8435274484219779</v>
      </c>
      <c r="T11" s="66">
        <f t="shared" si="6"/>
        <v>1.8326315898322214</v>
      </c>
      <c r="U11" s="66">
        <f t="shared" si="6"/>
        <v>1.8571606348977328</v>
      </c>
      <c r="V11" s="66">
        <f t="shared" si="6"/>
        <v>1.8569267586568698</v>
      </c>
    </row>
    <row r="12" spans="2:22" ht="15" customHeight="1" x14ac:dyDescent="0.3">
      <c r="B12" s="19" t="s">
        <v>46</v>
      </c>
      <c r="C12" s="87">
        <v>7193.86</v>
      </c>
      <c r="D12" s="83">
        <v>6327.71</v>
      </c>
      <c r="E12" s="83">
        <v>5534.74</v>
      </c>
      <c r="F12" s="83">
        <v>5864.53</v>
      </c>
      <c r="G12" s="82">
        <v>5428.21</v>
      </c>
      <c r="J12" s="64" t="s">
        <v>102</v>
      </c>
      <c r="K12" s="66">
        <f>C12/C5</f>
        <v>6.1158195884825156E-2</v>
      </c>
      <c r="L12" s="66">
        <f t="shared" ref="L12:O12" si="7">D12/D5</f>
        <v>6.6119490961078511E-2</v>
      </c>
      <c r="M12" s="66">
        <f t="shared" si="7"/>
        <v>7.2446317505698132E-2</v>
      </c>
      <c r="N12" s="66">
        <f t="shared" si="7"/>
        <v>7.5549403479029331E-2</v>
      </c>
      <c r="O12" s="66">
        <f t="shared" si="7"/>
        <v>7.0313373337521579E-2</v>
      </c>
      <c r="Q12" s="64"/>
      <c r="R12" s="64"/>
      <c r="S12" s="64"/>
      <c r="T12" s="64"/>
      <c r="U12" s="64"/>
      <c r="V12" s="64"/>
    </row>
    <row r="13" spans="2:22" ht="15" customHeight="1" x14ac:dyDescent="0.3">
      <c r="B13" s="19" t="s">
        <v>160</v>
      </c>
      <c r="C13" s="87">
        <v>23168.73</v>
      </c>
      <c r="D13" s="83">
        <v>15520.7</v>
      </c>
      <c r="E13" s="83">
        <v>10363.780000000001</v>
      </c>
      <c r="F13" s="83">
        <v>11436.68</v>
      </c>
      <c r="G13" s="82">
        <v>12423.45</v>
      </c>
      <c r="J13" s="64"/>
      <c r="K13" s="66"/>
      <c r="L13" s="66"/>
      <c r="M13" s="66"/>
      <c r="N13" s="66"/>
      <c r="O13" s="66"/>
      <c r="Q13" s="64"/>
      <c r="R13" s="64"/>
      <c r="S13" s="64"/>
      <c r="T13" s="64"/>
      <c r="U13" s="64"/>
      <c r="V13" s="64"/>
    </row>
    <row r="14" spans="2:22" ht="15" customHeight="1" x14ac:dyDescent="0.3">
      <c r="B14" s="8" t="s">
        <v>161</v>
      </c>
      <c r="C14" s="35">
        <v>15024.93</v>
      </c>
      <c r="D14" s="83">
        <v>12584.1</v>
      </c>
      <c r="E14" s="83">
        <v>10381.83</v>
      </c>
      <c r="F14" s="83">
        <v>10058.06</v>
      </c>
      <c r="G14" s="82">
        <v>10619.15</v>
      </c>
      <c r="J14" s="64"/>
      <c r="K14" s="66"/>
      <c r="L14" s="66"/>
      <c r="M14" s="66"/>
      <c r="N14" s="66"/>
      <c r="O14" s="66"/>
      <c r="Q14" s="64"/>
      <c r="R14" s="64"/>
      <c r="S14" s="64"/>
      <c r="T14" s="64"/>
      <c r="U14" s="64"/>
      <c r="V14" s="64"/>
    </row>
    <row r="15" spans="2:22" ht="18" customHeight="1" x14ac:dyDescent="0.3">
      <c r="B15" s="8" t="s">
        <v>162</v>
      </c>
      <c r="C15" s="35">
        <v>7451.57</v>
      </c>
      <c r="D15" s="83">
        <v>4240.83</v>
      </c>
      <c r="E15" s="83">
        <v>4374.84</v>
      </c>
      <c r="F15" s="83">
        <v>1032.26</v>
      </c>
      <c r="G15" s="82">
        <v>1408.88</v>
      </c>
      <c r="J15" s="64"/>
      <c r="K15" s="66"/>
      <c r="L15" s="66"/>
      <c r="M15" s="66"/>
      <c r="N15" s="66"/>
      <c r="O15" s="66"/>
      <c r="Q15" s="64"/>
      <c r="R15" s="64"/>
      <c r="S15" s="64"/>
      <c r="T15" s="64"/>
      <c r="U15" s="64"/>
      <c r="V15" s="64"/>
    </row>
    <row r="16" spans="2:22" ht="15" customHeight="1" x14ac:dyDescent="0.3">
      <c r="B16" s="8" t="s">
        <v>163</v>
      </c>
      <c r="C16" s="35">
        <v>5467.75</v>
      </c>
      <c r="D16" s="83">
        <v>6702.55</v>
      </c>
      <c r="E16" s="83">
        <v>4445.05</v>
      </c>
      <c r="F16" s="83">
        <v>5177.01</v>
      </c>
      <c r="G16" s="82">
        <v>4553.57</v>
      </c>
      <c r="J16" s="64"/>
      <c r="K16" s="66"/>
      <c r="L16" s="66"/>
      <c r="M16" s="66"/>
      <c r="N16" s="66"/>
      <c r="O16" s="66"/>
      <c r="Q16" s="64"/>
      <c r="R16" s="64"/>
      <c r="S16" s="64"/>
      <c r="T16" s="64"/>
      <c r="U16" s="64"/>
      <c r="V16" s="64"/>
    </row>
    <row r="17" spans="2:22" x14ac:dyDescent="0.3">
      <c r="B17" s="19" t="s">
        <v>164</v>
      </c>
      <c r="C17" s="35">
        <v>4723.46</v>
      </c>
      <c r="D17" s="83">
        <v>3480.3</v>
      </c>
      <c r="E17" s="83">
        <v>3914.6</v>
      </c>
      <c r="F17" s="83">
        <v>4587.82</v>
      </c>
      <c r="G17" s="82">
        <v>4050.18</v>
      </c>
      <c r="J17" s="64" t="s">
        <v>103</v>
      </c>
      <c r="K17" s="66">
        <f>C17/C5</f>
        <v>4.0156229330864969E-2</v>
      </c>
      <c r="L17" s="66">
        <f t="shared" ref="L17:O17" si="8">D17/D5</f>
        <v>3.6366341755839249E-2</v>
      </c>
      <c r="M17" s="66">
        <f t="shared" si="8"/>
        <v>5.1239688676939822E-2</v>
      </c>
      <c r="N17" s="66">
        <f t="shared" si="8"/>
        <v>5.9102274908502526E-2</v>
      </c>
      <c r="O17" s="66">
        <f t="shared" si="8"/>
        <v>5.2463301608479243E-2</v>
      </c>
      <c r="Q17" s="64"/>
      <c r="R17" s="64"/>
      <c r="S17" s="64"/>
      <c r="T17" s="64"/>
      <c r="U17" s="64"/>
      <c r="V17" s="64"/>
    </row>
    <row r="18" spans="2:22" x14ac:dyDescent="0.3">
      <c r="B18" s="19" t="s">
        <v>165</v>
      </c>
      <c r="C18" s="35">
        <v>1320.27</v>
      </c>
      <c r="D18" s="83">
        <v>1295.7</v>
      </c>
      <c r="E18" s="83">
        <v>1808.88</v>
      </c>
      <c r="F18" s="83">
        <v>2338.5</v>
      </c>
      <c r="G18" s="82">
        <v>2009.85</v>
      </c>
      <c r="J18" s="64"/>
      <c r="K18" s="66"/>
      <c r="L18" s="66"/>
      <c r="M18" s="66"/>
      <c r="N18" s="66"/>
      <c r="O18" s="66"/>
      <c r="Q18" s="64"/>
      <c r="R18" s="64"/>
      <c r="S18" s="64"/>
      <c r="T18" s="64"/>
      <c r="U18" s="64"/>
      <c r="V18" s="64"/>
    </row>
    <row r="19" spans="2:22" x14ac:dyDescent="0.3">
      <c r="B19" s="19" t="s">
        <v>47</v>
      </c>
      <c r="C19" s="35">
        <v>4551.59</v>
      </c>
      <c r="D19" s="83">
        <v>4161.07</v>
      </c>
      <c r="E19" s="83">
        <v>4033.4</v>
      </c>
      <c r="F19" s="83">
        <v>4040.82</v>
      </c>
      <c r="G19" s="82">
        <v>3571.38</v>
      </c>
      <c r="J19" s="64" t="s">
        <v>104</v>
      </c>
      <c r="K19" s="66">
        <f>C19/C5</f>
        <v>3.8695086199538403E-2</v>
      </c>
      <c r="L19" s="66">
        <f t="shared" ref="L19:O19" si="9">D19/D5</f>
        <v>4.3479841878565066E-2</v>
      </c>
      <c r="M19" s="66">
        <f t="shared" si="9"/>
        <v>5.2794707073409566E-2</v>
      </c>
      <c r="N19" s="66">
        <f t="shared" si="9"/>
        <v>5.2055585113577954E-2</v>
      </c>
      <c r="O19" s="66">
        <f t="shared" si="9"/>
        <v>4.6261249153985905E-2</v>
      </c>
      <c r="Q19" s="77" t="s">
        <v>117</v>
      </c>
      <c r="R19" s="80">
        <f>R9+C19</f>
        <v>224088.56</v>
      </c>
      <c r="S19" s="80">
        <f t="shared" ref="S19:V19" si="10">S9+D19</f>
        <v>180588.73</v>
      </c>
      <c r="T19" s="80">
        <f t="shared" si="10"/>
        <v>144042.43999999997</v>
      </c>
      <c r="U19" s="80">
        <f t="shared" si="10"/>
        <v>148203.1</v>
      </c>
      <c r="V19" s="80">
        <f t="shared" si="10"/>
        <v>146926.59000000003</v>
      </c>
    </row>
    <row r="20" spans="2:22" x14ac:dyDescent="0.3">
      <c r="B20" s="19" t="s">
        <v>48</v>
      </c>
      <c r="C20" s="35">
        <v>15119.24</v>
      </c>
      <c r="D20" s="86">
        <v>12521.45</v>
      </c>
      <c r="E20" s="86">
        <v>10069.969999999999</v>
      </c>
      <c r="F20" s="86">
        <v>11047.77</v>
      </c>
      <c r="G20" s="89">
        <v>9482.99</v>
      </c>
      <c r="J20" s="64" t="s">
        <v>105</v>
      </c>
      <c r="K20" s="66">
        <f>C20/C5</f>
        <v>0.12853536787617273</v>
      </c>
      <c r="L20" s="66">
        <f t="shared" ref="L20:O20" si="11">D20/D5</f>
        <v>0.13083910294476148</v>
      </c>
      <c r="M20" s="66">
        <f t="shared" si="11"/>
        <v>0.13180966836614819</v>
      </c>
      <c r="N20" s="66">
        <f t="shared" si="11"/>
        <v>0.1423221354948335</v>
      </c>
      <c r="O20" s="66">
        <f t="shared" si="11"/>
        <v>0.12283626024527122</v>
      </c>
      <c r="Q20" s="77" t="s">
        <v>118</v>
      </c>
      <c r="R20" s="66">
        <f>R19/C5</f>
        <v>1.9050762800538787</v>
      </c>
      <c r="S20" s="66">
        <f t="shared" ref="S20:U20" si="12">S19/D5</f>
        <v>1.887007290300543</v>
      </c>
      <c r="T20" s="66">
        <f t="shared" si="12"/>
        <v>1.8854262969056308</v>
      </c>
      <c r="U20" s="66">
        <f t="shared" si="12"/>
        <v>1.9092162200113107</v>
      </c>
      <c r="V20" s="66">
        <f>V19/G5</f>
        <v>1.9031880078108558</v>
      </c>
    </row>
    <row r="21" spans="2:22" x14ac:dyDescent="0.3">
      <c r="B21" s="44" t="s">
        <v>167</v>
      </c>
      <c r="C21" s="101">
        <v>106633.35</v>
      </c>
      <c r="D21" s="101">
        <v>84206.83</v>
      </c>
      <c r="E21" s="105">
        <v>67525.83</v>
      </c>
      <c r="F21" s="101">
        <v>71125</v>
      </c>
      <c r="G21" s="103">
        <v>70205.14</v>
      </c>
      <c r="J21" s="77" t="s">
        <v>106</v>
      </c>
      <c r="K21" s="78">
        <f>C21/C5</f>
        <v>0.90653742318520536</v>
      </c>
      <c r="L21" s="78">
        <f t="shared" ref="L21:O21" si="13">D21/D5</f>
        <v>0.8798937901778171</v>
      </c>
      <c r="M21" s="78">
        <f t="shared" si="13"/>
        <v>0.88387127850916147</v>
      </c>
      <c r="N21" s="78">
        <f t="shared" si="13"/>
        <v>0.91626290980623526</v>
      </c>
      <c r="O21" s="78">
        <f t="shared" si="13"/>
        <v>0.90939006026534885</v>
      </c>
      <c r="Q21" s="64"/>
      <c r="R21" s="64"/>
      <c r="S21" s="64"/>
      <c r="T21" s="64"/>
      <c r="U21" s="64"/>
      <c r="V21" s="64"/>
    </row>
    <row r="22" spans="2:22" ht="28.2" customHeight="1" x14ac:dyDescent="0.3">
      <c r="B22" s="40" t="s">
        <v>168</v>
      </c>
      <c r="C22" s="90">
        <v>14605.78</v>
      </c>
      <c r="D22" s="35">
        <v>12315.64</v>
      </c>
      <c r="E22" s="35">
        <v>9923.94</v>
      </c>
      <c r="F22" s="90">
        <v>7466.71</v>
      </c>
      <c r="G22" s="102">
        <v>7822.8</v>
      </c>
      <c r="J22" s="64"/>
      <c r="K22" s="64"/>
      <c r="L22" s="64"/>
      <c r="M22" s="64"/>
      <c r="N22" s="64"/>
      <c r="O22" s="64"/>
      <c r="Q22" s="77" t="s">
        <v>119</v>
      </c>
      <c r="R22" s="66">
        <f>C6/C33</f>
        <v>0.32605026087270494</v>
      </c>
      <c r="S22" s="66">
        <f t="shared" ref="S22:V22" si="14">D6/D33</f>
        <v>7.6828600960661533E-2</v>
      </c>
      <c r="T22" s="66">
        <f t="shared" si="14"/>
        <v>0.15586347499866654</v>
      </c>
      <c r="U22" s="66">
        <f t="shared" si="14"/>
        <v>0.1447567046250981</v>
      </c>
      <c r="V22" s="66">
        <f t="shared" si="14"/>
        <v>0.30155497424164041</v>
      </c>
    </row>
    <row r="23" spans="2:22" ht="16.2" customHeight="1" x14ac:dyDescent="0.3">
      <c r="B23" s="12" t="s">
        <v>169</v>
      </c>
      <c r="C23" s="52"/>
      <c r="D23" s="53"/>
      <c r="E23" s="47"/>
      <c r="F23" s="52"/>
      <c r="G23" s="108"/>
      <c r="J23" s="64"/>
      <c r="K23" s="64"/>
      <c r="L23" s="64"/>
      <c r="M23" s="64"/>
      <c r="N23" s="64"/>
      <c r="O23" s="64"/>
      <c r="Q23" s="77"/>
      <c r="R23" s="66"/>
      <c r="S23" s="66"/>
      <c r="T23" s="66"/>
      <c r="U23" s="66"/>
      <c r="V23" s="66"/>
    </row>
    <row r="24" spans="2:22" x14ac:dyDescent="0.3">
      <c r="B24" s="8" t="s">
        <v>170</v>
      </c>
      <c r="C24" s="6">
        <v>208.96</v>
      </c>
      <c r="D24" s="19">
        <v>380.33</v>
      </c>
      <c r="E24">
        <v>189.22</v>
      </c>
      <c r="F24" s="19"/>
      <c r="G24" s="19"/>
    </row>
    <row r="25" spans="2:22" ht="16.8" customHeight="1" x14ac:dyDescent="0.3">
      <c r="B25" s="12" t="s">
        <v>171</v>
      </c>
      <c r="C25" s="83">
        <v>14814.74</v>
      </c>
      <c r="D25" s="83">
        <v>12695.97</v>
      </c>
      <c r="E25" s="35">
        <v>10113.16</v>
      </c>
      <c r="F25" s="52"/>
      <c r="G25" s="108"/>
      <c r="J25" s="64"/>
      <c r="K25" s="64"/>
      <c r="L25" s="64"/>
      <c r="M25" s="64"/>
      <c r="N25" s="64"/>
      <c r="O25" s="64"/>
      <c r="Q25" s="77"/>
      <c r="R25" s="66"/>
      <c r="S25" s="66"/>
      <c r="T25" s="66"/>
      <c r="U25" s="66"/>
      <c r="V25" s="66"/>
    </row>
    <row r="26" spans="2:22" x14ac:dyDescent="0.3">
      <c r="B26" s="40" t="s">
        <v>158</v>
      </c>
      <c r="C26" s="19">
        <v>88.03</v>
      </c>
      <c r="D26" s="4">
        <v>69.11</v>
      </c>
      <c r="E26">
        <v>341.73</v>
      </c>
      <c r="F26" s="21"/>
      <c r="G26" s="29"/>
      <c r="J26" s="64"/>
      <c r="K26" s="64"/>
      <c r="L26" s="64"/>
      <c r="M26" s="64"/>
      <c r="N26" s="64"/>
      <c r="O26" s="64"/>
      <c r="Q26" s="64" t="s">
        <v>121</v>
      </c>
      <c r="R26" s="64">
        <f>('Balance Sheet'!C43+'Balance Sheet'!D43)/2</f>
        <v>313299.93000000005</v>
      </c>
      <c r="S26" s="64">
        <f>('Balance Sheet'!D43+'Balance Sheet'!E43)/2</f>
        <v>278225.57</v>
      </c>
      <c r="T26" s="64">
        <f>('Balance Sheet'!E43+'Balance Sheet'!F43)/2</f>
        <v>255736.05499999999</v>
      </c>
      <c r="U26" s="64">
        <f>('Balance Sheet'!F43+'Balance Sheet'!G43)/2</f>
        <v>242794.86499999999</v>
      </c>
      <c r="V26" s="64">
        <f>('Balance Sheet'!G43+'Balance Sheet'!H43)/2</f>
        <v>120586.965</v>
      </c>
    </row>
    <row r="27" spans="2:22" x14ac:dyDescent="0.3">
      <c r="B27" s="12" t="s">
        <v>295</v>
      </c>
      <c r="C27" s="91">
        <v>14726.71</v>
      </c>
      <c r="D27" s="91">
        <v>12626.86</v>
      </c>
      <c r="E27" s="121">
        <v>9771.43</v>
      </c>
      <c r="F27" s="64">
        <v>562.22</v>
      </c>
      <c r="G27" s="120">
        <v>29.06</v>
      </c>
      <c r="J27" s="44" t="s">
        <v>107</v>
      </c>
      <c r="K27" s="79">
        <f>C27/C5</f>
        <v>0.12519829617465636</v>
      </c>
      <c r="L27" s="79">
        <f t="shared" ref="L27:O27" si="15">D27/D5</f>
        <v>0.13194055284404688</v>
      </c>
      <c r="M27" s="79">
        <f t="shared" si="15"/>
        <v>0.12790196472909368</v>
      </c>
      <c r="N27" s="79">
        <f t="shared" si="15"/>
        <v>7.2427603957998122E-3</v>
      </c>
      <c r="O27" s="79">
        <f t="shared" si="15"/>
        <v>3.7642365147781253E-4</v>
      </c>
      <c r="Q27" s="77" t="s">
        <v>120</v>
      </c>
      <c r="R27" s="66">
        <f>C33/R26</f>
        <v>3.5359727019409162E-2</v>
      </c>
      <c r="S27" s="66">
        <f t="shared" ref="S27:V27" si="16">D33/S26</f>
        <v>3.8424038451965431E-2</v>
      </c>
      <c r="T27" s="66">
        <f t="shared" si="16"/>
        <v>2.6391429241371538E-2</v>
      </c>
      <c r="U27" s="66">
        <f t="shared" si="16"/>
        <v>2.7502558589943819E-2</v>
      </c>
      <c r="V27" s="66">
        <f t="shared" si="16"/>
        <v>2.2761498309539507E-2</v>
      </c>
    </row>
    <row r="28" spans="2:22" x14ac:dyDescent="0.3">
      <c r="B28" s="40" t="s">
        <v>49</v>
      </c>
      <c r="C28" s="40"/>
      <c r="D28" s="59"/>
      <c r="E28" s="20"/>
      <c r="F28" s="9"/>
      <c r="G28" s="20"/>
      <c r="J28" s="64"/>
      <c r="K28" s="64"/>
      <c r="L28" s="64"/>
      <c r="M28" s="64"/>
      <c r="N28" s="64"/>
      <c r="O28" s="64"/>
      <c r="Q28" s="64" t="s">
        <v>123</v>
      </c>
      <c r="R28" s="64">
        <f>('Balance Sheet'!C50+'Balance Sheet'!D50)/2</f>
        <v>119543.76500000001</v>
      </c>
      <c r="S28" s="64">
        <f>('Balance Sheet'!D50+'Balance Sheet'!E50)/2</f>
        <v>109368.155</v>
      </c>
      <c r="T28" s="64">
        <f>('Balance Sheet'!E50+'Balance Sheet'!F50)/2</f>
        <v>96774.675000000003</v>
      </c>
      <c r="U28" s="64">
        <f>('Balance Sheet'!F50+'Balance Sheet'!G50)/2</f>
        <v>89754.925000000003</v>
      </c>
      <c r="V28" s="64">
        <f>('Balance Sheet'!G50+'Balance Sheet'!H50)/2</f>
        <v>44261.05</v>
      </c>
    </row>
    <row r="29" spans="2:22" x14ac:dyDescent="0.3">
      <c r="B29" s="8" t="s">
        <v>172</v>
      </c>
      <c r="C29" s="40"/>
      <c r="D29" s="59"/>
      <c r="E29" s="20"/>
      <c r="F29" s="9"/>
      <c r="G29" s="20"/>
      <c r="J29" s="64"/>
      <c r="K29" s="64"/>
      <c r="L29" s="64"/>
      <c r="M29" s="64"/>
      <c r="N29" s="64"/>
      <c r="O29" s="64"/>
      <c r="Q29" s="64"/>
      <c r="R29" s="64"/>
      <c r="S29" s="64"/>
      <c r="T29" s="64"/>
      <c r="U29" s="64"/>
      <c r="V29" s="64"/>
    </row>
    <row r="30" spans="2:22" x14ac:dyDescent="0.3">
      <c r="B30" s="19" t="s">
        <v>51</v>
      </c>
      <c r="C30" s="83">
        <v>3432.67</v>
      </c>
      <c r="D30" s="51">
        <v>1954.4</v>
      </c>
      <c r="E30" s="83">
        <v>1959.4</v>
      </c>
      <c r="F30" s="35">
        <v>1607.38</v>
      </c>
      <c r="G30" s="83">
        <v>2339.4</v>
      </c>
      <c r="J30" s="64"/>
      <c r="K30" s="64"/>
      <c r="L30" s="64"/>
      <c r="M30" s="64"/>
      <c r="N30" s="64"/>
      <c r="O30" s="64"/>
      <c r="Q30" s="77" t="s">
        <v>122</v>
      </c>
      <c r="R30" s="66">
        <f>C33/R28</f>
        <v>9.2670663334051759E-2</v>
      </c>
      <c r="S30" s="66">
        <f t="shared" ref="S30:V30" si="17">D33/S28</f>
        <v>9.7748288795765081E-2</v>
      </c>
      <c r="T30" s="66">
        <f t="shared" si="17"/>
        <v>6.974179970121315E-2</v>
      </c>
      <c r="U30" s="66">
        <f t="shared" si="17"/>
        <v>7.4396808865920164E-2</v>
      </c>
      <c r="V30" s="66">
        <f t="shared" si="17"/>
        <v>6.2012536982290291E-2</v>
      </c>
    </row>
    <row r="31" spans="2:22" x14ac:dyDescent="0.3">
      <c r="B31" s="19" t="s">
        <v>50</v>
      </c>
      <c r="C31" s="19">
        <v>215.84</v>
      </c>
      <c r="D31" s="124">
        <v>18.09</v>
      </c>
      <c r="E31" s="86">
        <v>1062.79</v>
      </c>
      <c r="F31" s="86">
        <v>1633.59</v>
      </c>
      <c r="G31" s="4">
        <v>94.83</v>
      </c>
      <c r="J31" s="64"/>
      <c r="K31" s="64"/>
      <c r="L31" s="64"/>
      <c r="M31" s="64"/>
      <c r="N31" s="64"/>
      <c r="O31" s="64"/>
      <c r="Q31" s="64"/>
      <c r="R31" s="64"/>
      <c r="S31" s="64"/>
      <c r="T31" s="64"/>
      <c r="U31" s="64"/>
      <c r="V31" s="64"/>
    </row>
    <row r="32" spans="2:22" x14ac:dyDescent="0.3">
      <c r="B32" s="37" t="s">
        <v>159</v>
      </c>
      <c r="C32" s="101">
        <v>3648.51</v>
      </c>
      <c r="D32" s="103">
        <v>1936.31</v>
      </c>
      <c r="E32" s="48">
        <v>3022.19</v>
      </c>
      <c r="F32" s="104">
        <v>30.65</v>
      </c>
      <c r="G32" s="101">
        <v>2418.7199999999998</v>
      </c>
      <c r="J32" s="64" t="s">
        <v>108</v>
      </c>
      <c r="K32" s="66">
        <f>C32/C5</f>
        <v>3.1017602409241139E-2</v>
      </c>
      <c r="L32" s="66">
        <f t="shared" ref="L32:O32" si="18">D32/D5</f>
        <v>2.0232885442418493E-2</v>
      </c>
      <c r="M32" s="66">
        <f t="shared" si="18"/>
        <v>3.9558594676994012E-2</v>
      </c>
      <c r="N32" s="66">
        <f t="shared" si="18"/>
        <v>3.948465122750244E-4</v>
      </c>
      <c r="O32" s="66">
        <f t="shared" si="18"/>
        <v>3.1330468489415508E-2</v>
      </c>
      <c r="Q32" s="77" t="s">
        <v>124</v>
      </c>
      <c r="R32" s="81">
        <f>'Balance Sheet'!C84/'Statement of P &amp; L'!C71</f>
        <v>15.702058088093864</v>
      </c>
      <c r="S32" s="81">
        <f>'Balance Sheet'!D84/'Statement of P &amp; L'!D71</f>
        <v>14.472082101234998</v>
      </c>
      <c r="T32" s="81">
        <f>'Balance Sheet'!E84/'Statement of P &amp; L'!E71</f>
        <v>22.122159524172641</v>
      </c>
      <c r="U32" s="81">
        <f>'Balance Sheet'!F84/'Statement of P &amp; L'!F71</f>
        <v>7.061702758825275</v>
      </c>
      <c r="V32" s="81">
        <f>'Balance Sheet'!G84/'Statement of P &amp; L'!G71</f>
        <v>32.226319875776397</v>
      </c>
    </row>
    <row r="33" spans="2:22" x14ac:dyDescent="0.3">
      <c r="B33" s="45" t="s">
        <v>296</v>
      </c>
      <c r="C33" s="98">
        <v>11078.2</v>
      </c>
      <c r="D33" s="89">
        <v>10690.55</v>
      </c>
      <c r="E33" s="121">
        <v>6749.24</v>
      </c>
      <c r="F33" s="92">
        <v>6677.48</v>
      </c>
      <c r="G33" s="121">
        <v>2744.74</v>
      </c>
      <c r="J33" s="44" t="s">
        <v>109</v>
      </c>
      <c r="K33" s="79">
        <f>C33/C5</f>
        <v>9.4180693765415241E-2</v>
      </c>
      <c r="L33" s="79">
        <f t="shared" ref="L33:O33" si="19">D33/D5</f>
        <v>0.11170766740162837</v>
      </c>
      <c r="M33" s="79">
        <f t="shared" si="19"/>
        <v>8.8343370052099662E-2</v>
      </c>
      <c r="N33" s="79">
        <f t="shared" si="19"/>
        <v>8.6022175816842739E-2</v>
      </c>
      <c r="O33" s="79">
        <f t="shared" si="19"/>
        <v>3.5553511808575744E-2</v>
      </c>
      <c r="Q33" s="77" t="s">
        <v>125</v>
      </c>
      <c r="R33" s="81">
        <f>'Balance Sheet'!C84/'Statement of P &amp; L'!R42</f>
        <v>0.91387942300361447</v>
      </c>
      <c r="S33" s="81">
        <f>'Balance Sheet'!D84/'Statement of P &amp; L'!S42</f>
        <v>1.1447906623464112</v>
      </c>
      <c r="T33" s="81">
        <f>'Balance Sheet'!E84/'Statement of P &amp; L'!T42</f>
        <v>1.2500909646493794</v>
      </c>
      <c r="U33" s="81">
        <f>'Balance Sheet'!F84/'Statement of P &amp; L'!U42</f>
        <v>0.40381814645005287</v>
      </c>
      <c r="V33" s="81">
        <f>'Balance Sheet'!G84/'Statement of P &amp; L'!V42</f>
        <v>0.70799091971852424</v>
      </c>
    </row>
    <row r="34" spans="2:22" x14ac:dyDescent="0.3">
      <c r="B34" s="113" t="s">
        <v>173</v>
      </c>
      <c r="C34" s="106"/>
      <c r="D34" s="107"/>
      <c r="E34" s="106"/>
      <c r="F34" s="126"/>
      <c r="G34" s="128"/>
      <c r="J34" s="77"/>
      <c r="K34" s="110"/>
      <c r="L34" s="110"/>
      <c r="M34" s="110"/>
      <c r="N34" s="110"/>
      <c r="O34" s="110"/>
      <c r="Q34" s="77"/>
      <c r="R34" s="81"/>
      <c r="S34" s="81"/>
      <c r="T34" s="81"/>
      <c r="U34" s="81"/>
      <c r="V34" s="81"/>
    </row>
    <row r="35" spans="2:22" x14ac:dyDescent="0.3">
      <c r="B35" s="109" t="s">
        <v>174</v>
      </c>
      <c r="C35" s="106"/>
      <c r="D35" s="19">
        <v>352.52</v>
      </c>
      <c r="E35" s="19">
        <v>162.79</v>
      </c>
      <c r="F35" s="125">
        <v>90.03</v>
      </c>
      <c r="G35" s="19">
        <v>54.94</v>
      </c>
      <c r="J35" s="77"/>
      <c r="K35" s="110"/>
      <c r="L35" s="110"/>
      <c r="M35" s="110"/>
      <c r="N35" s="110"/>
      <c r="O35" s="110"/>
      <c r="Q35" s="77"/>
      <c r="R35" s="81"/>
      <c r="S35" s="81"/>
      <c r="T35" s="81"/>
      <c r="U35" s="81"/>
      <c r="V35" s="81"/>
    </row>
    <row r="36" spans="2:22" x14ac:dyDescent="0.3">
      <c r="B36" s="109" t="s">
        <v>175</v>
      </c>
      <c r="C36" s="106"/>
      <c r="D36" s="19">
        <v>670.71</v>
      </c>
      <c r="E36" s="19">
        <v>166.5</v>
      </c>
      <c r="F36" s="6">
        <v>36.630000000000003</v>
      </c>
      <c r="G36" s="122">
        <v>15.31</v>
      </c>
      <c r="J36" s="77"/>
      <c r="K36" s="110"/>
      <c r="L36" s="110"/>
      <c r="M36" s="110"/>
      <c r="N36" s="110"/>
      <c r="O36" s="110"/>
      <c r="Q36" s="77"/>
      <c r="R36" s="81"/>
      <c r="S36" s="81"/>
      <c r="T36" s="81"/>
      <c r="U36" s="81"/>
      <c r="V36" s="81"/>
    </row>
    <row r="37" spans="2:22" x14ac:dyDescent="0.3">
      <c r="B37" s="109" t="s">
        <v>176</v>
      </c>
      <c r="C37" s="106"/>
      <c r="D37" s="19">
        <v>440.07</v>
      </c>
      <c r="E37" s="122">
        <v>66.099999999999994</v>
      </c>
      <c r="F37" s="126"/>
      <c r="G37" s="106"/>
      <c r="J37" s="77"/>
      <c r="K37" s="110"/>
      <c r="L37" s="110"/>
      <c r="M37" s="110"/>
      <c r="N37" s="110"/>
      <c r="O37" s="110"/>
      <c r="Q37" s="77"/>
      <c r="R37" s="81"/>
      <c r="S37" s="81"/>
      <c r="T37" s="81"/>
      <c r="U37" s="81"/>
      <c r="V37" s="81"/>
    </row>
    <row r="38" spans="2:22" x14ac:dyDescent="0.3">
      <c r="B38" s="109" t="s">
        <v>177</v>
      </c>
      <c r="C38" s="106"/>
      <c r="D38" s="19">
        <v>67.42</v>
      </c>
      <c r="E38" s="19">
        <v>25.73</v>
      </c>
      <c r="F38" s="6">
        <v>53.4</v>
      </c>
      <c r="G38" s="19">
        <v>39.630000000000003</v>
      </c>
      <c r="J38" s="77"/>
      <c r="K38" s="110"/>
      <c r="L38" s="110"/>
      <c r="M38" s="110"/>
      <c r="N38" s="110"/>
      <c r="O38" s="110"/>
      <c r="Q38" s="77"/>
      <c r="R38" s="81"/>
      <c r="S38" s="81"/>
      <c r="T38" s="81"/>
      <c r="U38" s="81"/>
      <c r="V38" s="81"/>
    </row>
    <row r="39" spans="2:22" x14ac:dyDescent="0.3">
      <c r="B39" s="40" t="s">
        <v>178</v>
      </c>
      <c r="C39" s="106"/>
      <c r="D39" s="19">
        <v>515.74</v>
      </c>
      <c r="E39" s="19">
        <v>237.46</v>
      </c>
      <c r="F39" s="126"/>
      <c r="G39" s="106"/>
      <c r="J39" s="77"/>
      <c r="K39" s="110"/>
      <c r="L39" s="110"/>
      <c r="M39" s="110"/>
      <c r="N39" s="110"/>
      <c r="O39" s="110"/>
      <c r="Q39" s="77"/>
      <c r="R39" s="81"/>
      <c r="S39" s="81"/>
      <c r="T39" s="81"/>
      <c r="U39" s="81"/>
      <c r="V39" s="81"/>
    </row>
    <row r="40" spans="2:22" x14ac:dyDescent="0.3">
      <c r="B40" s="40" t="s">
        <v>179</v>
      </c>
      <c r="C40" s="43">
        <v>11078.2</v>
      </c>
      <c r="D40" s="123">
        <v>11206.29</v>
      </c>
      <c r="E40" s="43">
        <v>6986.7</v>
      </c>
      <c r="F40" s="127">
        <v>6677.48</v>
      </c>
      <c r="G40" s="123">
        <v>2744.74</v>
      </c>
      <c r="J40" s="77"/>
      <c r="K40" s="110"/>
      <c r="L40" s="110"/>
      <c r="M40" s="110"/>
      <c r="N40" s="110"/>
      <c r="O40" s="110"/>
      <c r="Q40" s="77"/>
      <c r="R40" s="81"/>
      <c r="S40" s="81"/>
      <c r="T40" s="81"/>
      <c r="U40" s="81"/>
      <c r="V40" s="81"/>
    </row>
    <row r="41" spans="2:22" x14ac:dyDescent="0.3">
      <c r="B41" s="40" t="s">
        <v>42</v>
      </c>
      <c r="C41" s="40"/>
      <c r="D41" s="51"/>
      <c r="E41" s="20"/>
      <c r="F41" s="29"/>
      <c r="G41" s="20"/>
      <c r="J41" s="64" t="s">
        <v>110</v>
      </c>
      <c r="K41" s="92">
        <f>C27+C17</f>
        <v>19450.169999999998</v>
      </c>
      <c r="L41" s="92">
        <f t="shared" ref="L41:O41" si="20">D27+D17</f>
        <v>16107.16</v>
      </c>
      <c r="M41" s="92">
        <f t="shared" si="20"/>
        <v>13686.03</v>
      </c>
      <c r="N41" s="92">
        <f t="shared" si="20"/>
        <v>5150.04</v>
      </c>
      <c r="O41" s="92">
        <f t="shared" si="20"/>
        <v>4079.24</v>
      </c>
      <c r="Q41" s="64"/>
      <c r="R41" s="64"/>
      <c r="S41" s="64"/>
      <c r="T41" s="64"/>
      <c r="U41" s="64"/>
      <c r="V41" s="64"/>
    </row>
    <row r="42" spans="2:22" x14ac:dyDescent="0.3">
      <c r="B42" s="19" t="s">
        <v>180</v>
      </c>
      <c r="C42" s="82">
        <v>3444.28</v>
      </c>
      <c r="D42" s="83">
        <v>3442.16</v>
      </c>
      <c r="E42" s="83">
        <v>6986.7</v>
      </c>
      <c r="F42" s="82">
        <v>5512.19</v>
      </c>
      <c r="G42" s="20">
        <v>2689.45</v>
      </c>
      <c r="J42" s="64" t="s">
        <v>111</v>
      </c>
      <c r="K42" s="81">
        <f>K41/C5</f>
        <v>0.16535452550552132</v>
      </c>
      <c r="L42" s="81">
        <f t="shared" ref="L42:O42" si="21">L41/D5</f>
        <v>0.16830689459988613</v>
      </c>
      <c r="M42" s="81">
        <f t="shared" si="21"/>
        <v>0.17914165340603352</v>
      </c>
      <c r="N42" s="81">
        <f t="shared" si="21"/>
        <v>6.6345035304302344E-2</v>
      </c>
      <c r="O42" s="81">
        <f t="shared" si="21"/>
        <v>5.283972525995706E-2</v>
      </c>
      <c r="Q42" s="77" t="s">
        <v>126</v>
      </c>
      <c r="R42" s="81">
        <f>'Statement of P &amp; L'!C5/'Balance Sheet'!C83</f>
        <v>1786.5595382746051</v>
      </c>
      <c r="S42" s="81">
        <f>'Statement of P &amp; L'!D5/'Balance Sheet'!D83</f>
        <v>1453.5408566221142</v>
      </c>
      <c r="T42" s="81">
        <f>'Statement of P &amp; L'!E5/'Balance Sheet'!E83</f>
        <v>1160.3555589307412</v>
      </c>
      <c r="U42" s="81">
        <f>'Statement of P &amp; L'!F5/'Balance Sheet'!F83</f>
        <v>1178.9960510328069</v>
      </c>
      <c r="V42" s="81">
        <f>'Statement of P &amp; L'!G5/'Balance Sheet'!G83</f>
        <v>1172.5432867557715</v>
      </c>
    </row>
    <row r="43" spans="2:22" x14ac:dyDescent="0.3">
      <c r="B43" s="39" t="s">
        <v>181</v>
      </c>
      <c r="C43" s="6">
        <v>387.85</v>
      </c>
      <c r="D43" s="19">
        <v>221.77</v>
      </c>
      <c r="E43" s="19">
        <v>387.07</v>
      </c>
      <c r="F43" s="6">
        <v>373.62</v>
      </c>
      <c r="G43" s="83">
        <v>31.06</v>
      </c>
      <c r="J43" s="64"/>
      <c r="K43" s="64"/>
      <c r="L43" s="64"/>
      <c r="M43" s="64"/>
      <c r="N43" s="64"/>
      <c r="O43" s="64"/>
      <c r="Q43" s="64"/>
      <c r="R43" s="64"/>
      <c r="S43" s="64"/>
      <c r="T43" s="64"/>
      <c r="U43" s="64"/>
      <c r="V43" s="64"/>
    </row>
    <row r="44" spans="2:22" x14ac:dyDescent="0.3">
      <c r="B44" s="19" t="s">
        <v>182</v>
      </c>
      <c r="C44" s="6">
        <v>182.04</v>
      </c>
      <c r="D44" s="19">
        <v>63.88</v>
      </c>
      <c r="E44" s="19">
        <v>163.53</v>
      </c>
      <c r="F44" s="6">
        <v>145.53</v>
      </c>
      <c r="G44" s="19">
        <v>77.38</v>
      </c>
      <c r="J44" s="64"/>
      <c r="K44" s="64"/>
      <c r="L44" s="64"/>
      <c r="M44" s="64"/>
      <c r="N44" s="64"/>
      <c r="O44" s="64"/>
      <c r="Q44" s="64"/>
      <c r="R44" s="64"/>
      <c r="S44" s="64"/>
      <c r="T44" s="64"/>
      <c r="U44" s="64"/>
      <c r="V44" s="64"/>
    </row>
    <row r="45" spans="2:22" x14ac:dyDescent="0.3">
      <c r="B45" s="8" t="s">
        <v>183</v>
      </c>
      <c r="C45" s="6">
        <v>57.69</v>
      </c>
      <c r="D45" s="19">
        <v>3.47</v>
      </c>
      <c r="E45" s="19">
        <v>18.75</v>
      </c>
      <c r="F45" s="6">
        <v>8.9600000000000009</v>
      </c>
      <c r="G45" s="83">
        <v>16.63</v>
      </c>
      <c r="J45" s="64"/>
      <c r="K45" s="64"/>
      <c r="L45" s="64"/>
      <c r="M45" s="64"/>
      <c r="N45" s="64"/>
      <c r="O45" s="64"/>
      <c r="Q45" s="64"/>
      <c r="R45" s="64"/>
      <c r="S45" s="64"/>
      <c r="T45" s="64"/>
      <c r="U45" s="64"/>
      <c r="V45" s="64"/>
    </row>
    <row r="46" spans="2:22" x14ac:dyDescent="0.3">
      <c r="B46" s="12" t="s">
        <v>184</v>
      </c>
      <c r="C46" s="82">
        <v>3180.78</v>
      </c>
      <c r="D46" s="86">
        <v>3280.8</v>
      </c>
      <c r="E46" s="83">
        <v>4840.92</v>
      </c>
      <c r="F46" s="82">
        <v>5002</v>
      </c>
      <c r="G46" s="83">
        <v>2781.26</v>
      </c>
      <c r="J46" s="64"/>
      <c r="K46" s="64"/>
      <c r="L46" s="64"/>
      <c r="M46" s="64"/>
      <c r="N46" s="64"/>
      <c r="O46" s="64"/>
      <c r="Q46" s="64"/>
      <c r="R46" s="64"/>
      <c r="S46" s="64"/>
      <c r="T46" s="64"/>
      <c r="U46" s="64"/>
      <c r="V46" s="64"/>
    </row>
    <row r="47" spans="2:22" x14ac:dyDescent="0.3">
      <c r="B47" s="111" t="s">
        <v>185</v>
      </c>
      <c r="C47" s="92">
        <v>7897.42</v>
      </c>
      <c r="D47" s="91">
        <v>14487.09</v>
      </c>
      <c r="E47" s="92">
        <v>11827.62</v>
      </c>
      <c r="F47" s="91">
        <v>1675.48</v>
      </c>
      <c r="G47" s="92">
        <v>36.520000000000003</v>
      </c>
      <c r="J47" s="64"/>
      <c r="K47" s="64"/>
      <c r="L47" s="64"/>
      <c r="M47" s="64"/>
      <c r="N47" s="64"/>
      <c r="O47" s="64"/>
      <c r="Q47" s="64"/>
      <c r="R47" s="64"/>
      <c r="S47" s="64"/>
      <c r="T47" s="64"/>
      <c r="U47" s="64"/>
      <c r="V47" s="64"/>
    </row>
    <row r="48" spans="2:22" x14ac:dyDescent="0.3">
      <c r="B48" s="113" t="s">
        <v>186</v>
      </c>
      <c r="C48" s="41"/>
      <c r="D48" s="60"/>
      <c r="E48" s="43"/>
      <c r="F48" s="99"/>
      <c r="G48" s="43"/>
      <c r="J48" s="64"/>
      <c r="K48" s="64"/>
      <c r="L48" s="64"/>
      <c r="M48" s="64"/>
      <c r="N48" s="64"/>
      <c r="O48" s="64"/>
      <c r="Q48" s="64"/>
      <c r="R48" s="64"/>
      <c r="S48" s="64"/>
      <c r="T48" s="64"/>
      <c r="U48" s="64"/>
      <c r="V48" s="64"/>
    </row>
    <row r="49" spans="2:22" x14ac:dyDescent="0.3">
      <c r="B49" s="112" t="s">
        <v>187</v>
      </c>
      <c r="C49" s="83">
        <v>6827.26</v>
      </c>
      <c r="D49" s="35">
        <v>7102.37</v>
      </c>
      <c r="E49" s="35">
        <v>4128.41</v>
      </c>
      <c r="F49" s="82">
        <v>4425.1899999999996</v>
      </c>
      <c r="G49" s="83">
        <v>1692.99</v>
      </c>
      <c r="J49" s="64"/>
      <c r="K49" s="64"/>
      <c r="L49" s="64"/>
      <c r="M49" s="64"/>
      <c r="N49" s="64"/>
      <c r="O49" s="64"/>
      <c r="Q49" s="64"/>
      <c r="R49" s="64"/>
      <c r="S49" s="64"/>
      <c r="T49" s="64"/>
      <c r="U49" s="64"/>
      <c r="V49" s="64"/>
    </row>
    <row r="50" spans="2:22" x14ac:dyDescent="0.3">
      <c r="B50" s="112" t="s">
        <v>188</v>
      </c>
      <c r="C50" s="83">
        <v>4250.9399999999996</v>
      </c>
      <c r="D50" s="35">
        <v>3588.18</v>
      </c>
      <c r="E50" s="83">
        <v>2620.83</v>
      </c>
      <c r="F50" s="89">
        <v>2252.29</v>
      </c>
      <c r="G50" s="82">
        <v>1051.75</v>
      </c>
      <c r="J50" s="64"/>
      <c r="K50" s="64"/>
      <c r="L50" s="64"/>
      <c r="M50" s="64"/>
      <c r="N50" s="64"/>
      <c r="O50" s="64"/>
      <c r="Q50" s="64"/>
      <c r="R50" s="64"/>
      <c r="S50" s="64"/>
      <c r="T50" s="64"/>
      <c r="U50" s="64"/>
      <c r="V50" s="64"/>
    </row>
    <row r="51" spans="2:22" x14ac:dyDescent="0.3">
      <c r="B51" s="112"/>
      <c r="C51" s="115">
        <v>11078.2</v>
      </c>
      <c r="D51" s="116">
        <v>10690.55</v>
      </c>
      <c r="E51" s="94">
        <v>6749.24</v>
      </c>
      <c r="F51" s="116">
        <v>6677.48</v>
      </c>
      <c r="G51" s="94">
        <v>2744.74</v>
      </c>
      <c r="J51" s="64"/>
      <c r="K51" s="64"/>
      <c r="L51" s="64"/>
      <c r="M51" s="64"/>
      <c r="N51" s="64"/>
      <c r="O51" s="64"/>
      <c r="Q51" s="64"/>
      <c r="R51" s="64"/>
      <c r="S51" s="64"/>
      <c r="T51" s="64"/>
      <c r="U51" s="64"/>
      <c r="V51" s="64"/>
    </row>
    <row r="52" spans="2:22" x14ac:dyDescent="0.3">
      <c r="B52" s="40" t="s">
        <v>189</v>
      </c>
      <c r="C52" s="39"/>
      <c r="D52" s="59"/>
      <c r="E52" s="19"/>
      <c r="G52" s="19"/>
      <c r="J52" s="64"/>
      <c r="K52" s="64"/>
      <c r="L52" s="64"/>
      <c r="M52" s="64"/>
      <c r="N52" s="64"/>
      <c r="O52" s="64"/>
      <c r="Q52" s="64"/>
      <c r="R52" s="64"/>
      <c r="S52" s="64"/>
      <c r="T52" s="64"/>
      <c r="U52" s="64"/>
      <c r="V52" s="64"/>
    </row>
    <row r="53" spans="2:22" x14ac:dyDescent="0.3">
      <c r="B53" s="19" t="s">
        <v>187</v>
      </c>
      <c r="C53" s="83">
        <v>6827.26</v>
      </c>
      <c r="D53" s="83">
        <v>7549.78</v>
      </c>
      <c r="E53" s="83">
        <v>4304.82</v>
      </c>
      <c r="F53" s="83">
        <v>4425.1899999999996</v>
      </c>
      <c r="G53" s="83">
        <v>1692.99</v>
      </c>
      <c r="J53" s="64"/>
      <c r="K53" s="64"/>
      <c r="L53" s="64"/>
      <c r="M53" s="64"/>
      <c r="N53" s="64"/>
      <c r="O53" s="64"/>
      <c r="Q53" s="64"/>
      <c r="R53" s="64"/>
      <c r="S53" s="64"/>
      <c r="T53" s="64"/>
      <c r="U53" s="64"/>
      <c r="V53" s="64"/>
    </row>
    <row r="54" spans="2:22" x14ac:dyDescent="0.3">
      <c r="B54" s="112" t="s">
        <v>188</v>
      </c>
      <c r="C54" s="83">
        <v>4250.9399999999996</v>
      </c>
      <c r="D54" s="124">
        <v>3656.51</v>
      </c>
      <c r="E54" s="82">
        <v>2681.88</v>
      </c>
      <c r="F54" s="83">
        <v>2252.29</v>
      </c>
      <c r="G54" s="83">
        <v>1051.75</v>
      </c>
      <c r="J54" s="64"/>
      <c r="K54" s="64"/>
      <c r="L54" s="64"/>
      <c r="M54" s="64"/>
      <c r="N54" s="64"/>
      <c r="O54" s="64"/>
      <c r="Q54" s="64"/>
      <c r="R54" s="64"/>
      <c r="S54" s="64"/>
      <c r="T54" s="64"/>
      <c r="U54" s="64"/>
      <c r="V54" s="64"/>
    </row>
    <row r="55" spans="2:22" x14ac:dyDescent="0.3">
      <c r="B55" s="112"/>
      <c r="C55" s="115">
        <v>11078.2</v>
      </c>
      <c r="D55" s="116">
        <v>11206.29</v>
      </c>
      <c r="E55" s="94">
        <v>6986.7</v>
      </c>
      <c r="F55" s="94">
        <v>6677.48</v>
      </c>
      <c r="G55" s="94">
        <v>2744.74</v>
      </c>
      <c r="J55" s="64"/>
      <c r="K55" s="64"/>
      <c r="L55" s="64"/>
      <c r="M55" s="64"/>
      <c r="N55" s="64"/>
      <c r="O55" s="64"/>
      <c r="Q55" s="64"/>
      <c r="R55" s="64"/>
      <c r="S55" s="64"/>
      <c r="T55" s="64"/>
      <c r="U55" s="64"/>
      <c r="V55" s="64"/>
    </row>
    <row r="56" spans="2:22" x14ac:dyDescent="0.3">
      <c r="B56" s="40" t="s">
        <v>190</v>
      </c>
      <c r="C56" s="39"/>
      <c r="D56" s="59"/>
      <c r="E56" s="19"/>
      <c r="G56" s="19"/>
      <c r="J56" s="64"/>
      <c r="K56" s="64"/>
      <c r="L56" s="64"/>
      <c r="M56" s="64"/>
      <c r="N56" s="64"/>
      <c r="O56" s="64"/>
      <c r="Q56" s="64"/>
      <c r="R56" s="64"/>
      <c r="S56" s="64"/>
      <c r="T56" s="64"/>
      <c r="U56" s="64"/>
      <c r="V56" s="64"/>
    </row>
    <row r="57" spans="2:22" x14ac:dyDescent="0.3">
      <c r="B57" s="19" t="s">
        <v>187</v>
      </c>
      <c r="C57" s="83">
        <v>3104.23</v>
      </c>
      <c r="D57" s="83">
        <v>3281.85</v>
      </c>
      <c r="E57" s="83">
        <v>4780.54</v>
      </c>
      <c r="F57" s="35">
        <v>5067.74</v>
      </c>
      <c r="G57" s="83">
        <v>2822.5</v>
      </c>
      <c r="J57" s="64"/>
      <c r="K57" s="64"/>
      <c r="L57" s="64"/>
      <c r="M57" s="64"/>
      <c r="N57" s="64"/>
      <c r="O57" s="64"/>
      <c r="Q57" s="64"/>
      <c r="R57" s="64"/>
      <c r="S57" s="64"/>
      <c r="T57" s="64"/>
      <c r="U57" s="64"/>
      <c r="V57" s="64"/>
    </row>
    <row r="58" spans="2:22" x14ac:dyDescent="0.3">
      <c r="B58" s="112" t="s">
        <v>188</v>
      </c>
      <c r="C58" s="19">
        <v>76.55</v>
      </c>
      <c r="D58">
        <v>1.05</v>
      </c>
      <c r="E58" s="19">
        <v>60.38</v>
      </c>
      <c r="F58" s="35">
        <v>65.739999999999995</v>
      </c>
      <c r="G58" s="19">
        <v>41.24</v>
      </c>
      <c r="J58" s="64"/>
      <c r="K58" s="64"/>
      <c r="L58" s="64"/>
      <c r="M58" s="64"/>
      <c r="N58" s="64"/>
      <c r="O58" s="64"/>
      <c r="Q58" s="64"/>
      <c r="R58" s="64"/>
      <c r="S58" s="64"/>
      <c r="T58" s="64"/>
      <c r="U58" s="64"/>
      <c r="V58" s="64"/>
    </row>
    <row r="59" spans="2:22" x14ac:dyDescent="0.3">
      <c r="B59" s="112"/>
      <c r="C59" s="94">
        <v>3180.78</v>
      </c>
      <c r="D59" s="116">
        <v>3280.8</v>
      </c>
      <c r="E59" s="94">
        <v>4840.92</v>
      </c>
      <c r="F59" s="94">
        <v>5002</v>
      </c>
      <c r="G59" s="94">
        <v>2781.26</v>
      </c>
      <c r="J59" s="64"/>
      <c r="K59" s="64"/>
      <c r="L59" s="64"/>
      <c r="M59" s="64"/>
      <c r="N59" s="64"/>
      <c r="O59" s="64"/>
      <c r="Q59" s="64"/>
      <c r="R59" s="64"/>
      <c r="S59" s="64"/>
      <c r="T59" s="64"/>
      <c r="U59" s="64"/>
      <c r="V59" s="64"/>
    </row>
    <row r="60" spans="2:22" x14ac:dyDescent="0.3">
      <c r="B60" s="40" t="s">
        <v>191</v>
      </c>
      <c r="C60" s="39"/>
      <c r="D60" s="59"/>
      <c r="E60" s="19"/>
      <c r="G60" s="19"/>
      <c r="J60" s="64"/>
      <c r="K60" s="64"/>
      <c r="L60" s="64"/>
      <c r="M60" s="64"/>
      <c r="N60" s="64"/>
      <c r="O60" s="64"/>
      <c r="Q60" s="64"/>
      <c r="R60" s="64"/>
      <c r="S60" s="64"/>
      <c r="T60" s="64"/>
      <c r="U60" s="64"/>
      <c r="V60" s="64"/>
    </row>
    <row r="61" spans="2:22" x14ac:dyDescent="0.3">
      <c r="B61" s="112" t="s">
        <v>187</v>
      </c>
      <c r="C61" s="83">
        <v>3723.03</v>
      </c>
      <c r="D61" s="83">
        <v>10831.63</v>
      </c>
      <c r="E61" s="83">
        <v>9085.36</v>
      </c>
      <c r="F61" s="19">
        <v>642.54999999999995</v>
      </c>
      <c r="G61" s="83">
        <v>1129.51</v>
      </c>
      <c r="J61" s="64"/>
      <c r="K61" s="64"/>
      <c r="L61" s="64"/>
      <c r="M61" s="64"/>
      <c r="N61" s="64"/>
      <c r="O61" s="64"/>
      <c r="Q61" s="64"/>
      <c r="R61" s="64"/>
      <c r="S61" s="64"/>
      <c r="T61" s="64"/>
      <c r="U61" s="64"/>
      <c r="V61" s="64"/>
    </row>
    <row r="62" spans="2:22" x14ac:dyDescent="0.3">
      <c r="B62" s="112" t="s">
        <v>188</v>
      </c>
      <c r="C62" s="83">
        <v>4174.3900000000003</v>
      </c>
      <c r="D62" s="86">
        <v>3655.46</v>
      </c>
      <c r="E62" s="86">
        <v>2742.26</v>
      </c>
      <c r="F62" s="86">
        <v>2318.0300000000002</v>
      </c>
      <c r="G62" s="86">
        <v>1092.99</v>
      </c>
      <c r="J62" s="64"/>
      <c r="K62" s="64"/>
      <c r="L62" s="64"/>
      <c r="M62" s="64"/>
      <c r="N62" s="64"/>
      <c r="O62" s="64"/>
      <c r="Q62" s="64"/>
      <c r="R62" s="64"/>
      <c r="S62" s="64"/>
      <c r="T62" s="64"/>
      <c r="U62" s="64"/>
      <c r="V62" s="64"/>
    </row>
    <row r="63" spans="2:22" x14ac:dyDescent="0.3">
      <c r="B63" s="112"/>
      <c r="C63" s="94">
        <v>7897.42</v>
      </c>
      <c r="D63" s="93">
        <v>14487.09</v>
      </c>
      <c r="E63" s="94">
        <v>11827.62</v>
      </c>
      <c r="F63" s="116">
        <v>1675.48</v>
      </c>
      <c r="G63" s="77">
        <v>36.520000000000003</v>
      </c>
      <c r="J63" s="64"/>
      <c r="K63" s="64"/>
      <c r="L63" s="64"/>
      <c r="M63" s="64"/>
      <c r="N63" s="64"/>
      <c r="O63" s="64"/>
      <c r="Q63" s="64"/>
      <c r="R63" s="64"/>
      <c r="S63" s="64"/>
      <c r="T63" s="64"/>
      <c r="U63" s="64"/>
      <c r="V63" s="64"/>
    </row>
    <row r="64" spans="2:22" x14ac:dyDescent="0.3">
      <c r="B64" s="40" t="s">
        <v>192</v>
      </c>
      <c r="C64" s="39"/>
      <c r="D64" s="59"/>
      <c r="E64" s="19"/>
      <c r="G64" s="19"/>
      <c r="J64" s="64"/>
      <c r="K64" s="64"/>
      <c r="L64" s="64"/>
      <c r="M64" s="64"/>
      <c r="N64" s="64"/>
      <c r="O64" s="64"/>
      <c r="Q64" s="64"/>
      <c r="R64" s="64"/>
      <c r="S64" s="64"/>
      <c r="T64" s="64"/>
      <c r="U64" s="64"/>
      <c r="V64" s="64"/>
    </row>
    <row r="65" spans="2:22" x14ac:dyDescent="0.3">
      <c r="B65" s="112" t="s">
        <v>193</v>
      </c>
      <c r="C65" s="19">
        <v>103.98</v>
      </c>
      <c r="D65" s="19">
        <v>108.16</v>
      </c>
      <c r="E65" s="19">
        <v>62.88</v>
      </c>
      <c r="F65">
        <v>67.42</v>
      </c>
      <c r="G65" s="19">
        <v>25.76</v>
      </c>
      <c r="J65" s="64"/>
      <c r="K65" s="64"/>
      <c r="L65" s="64"/>
      <c r="M65" s="64"/>
      <c r="N65" s="64"/>
      <c r="O65" s="64"/>
      <c r="Q65" s="64"/>
      <c r="R65" s="64"/>
      <c r="S65" s="64"/>
      <c r="T65" s="64"/>
      <c r="U65" s="64"/>
      <c r="V65" s="64"/>
    </row>
    <row r="66" spans="2:22" x14ac:dyDescent="0.3">
      <c r="B66" s="19" t="s">
        <v>194</v>
      </c>
      <c r="C66" s="19">
        <v>103.88</v>
      </c>
      <c r="D66" s="130">
        <v>108</v>
      </c>
      <c r="E66" s="19">
        <v>62.82</v>
      </c>
      <c r="F66">
        <v>67.38</v>
      </c>
      <c r="G66" s="19">
        <v>25.74</v>
      </c>
      <c r="J66" s="64"/>
      <c r="K66" s="64"/>
      <c r="L66" s="64"/>
      <c r="M66" s="64"/>
      <c r="N66" s="64"/>
      <c r="O66" s="64"/>
      <c r="Q66" s="64"/>
      <c r="R66" s="64"/>
      <c r="S66" s="64"/>
      <c r="T66" s="64"/>
      <c r="U66" s="64"/>
      <c r="V66" s="64"/>
    </row>
    <row r="67" spans="2:22" x14ac:dyDescent="0.3">
      <c r="B67" s="31" t="s">
        <v>195</v>
      </c>
      <c r="C67" s="39"/>
      <c r="D67" s="59"/>
      <c r="E67" s="19"/>
      <c r="G67" s="19"/>
      <c r="J67" s="64"/>
      <c r="K67" s="64"/>
      <c r="L67" s="64"/>
      <c r="M67" s="64"/>
      <c r="N67" s="64"/>
      <c r="O67" s="64"/>
      <c r="Q67" s="64"/>
      <c r="R67" s="64"/>
      <c r="S67" s="64"/>
      <c r="T67" s="64"/>
      <c r="U67" s="64"/>
      <c r="V67" s="64"/>
    </row>
    <row r="68" spans="2:22" x14ac:dyDescent="0.3">
      <c r="B68" s="19" t="s">
        <v>193</v>
      </c>
      <c r="C68" s="39"/>
      <c r="D68" s="129">
        <v>6.82</v>
      </c>
      <c r="E68" s="19">
        <v>2.69</v>
      </c>
      <c r="G68" s="19"/>
      <c r="J68" s="64"/>
      <c r="K68" s="64"/>
      <c r="L68" s="64"/>
      <c r="M68" s="64"/>
      <c r="N68" s="64"/>
      <c r="O68" s="64"/>
      <c r="Q68" s="64"/>
      <c r="R68" s="64"/>
      <c r="S68" s="64"/>
      <c r="T68" s="64"/>
      <c r="U68" s="64"/>
      <c r="V68" s="64"/>
    </row>
    <row r="69" spans="2:22" x14ac:dyDescent="0.3">
      <c r="B69" s="19" t="s">
        <v>194</v>
      </c>
      <c r="C69" s="39"/>
      <c r="D69" s="114">
        <v>6.8</v>
      </c>
      <c r="E69" s="19">
        <v>2.68</v>
      </c>
      <c r="G69" s="19"/>
      <c r="J69" s="64"/>
      <c r="K69" s="64"/>
      <c r="L69" s="64"/>
      <c r="M69" s="64"/>
      <c r="N69" s="64"/>
      <c r="O69" s="64"/>
      <c r="Q69" s="64"/>
      <c r="R69" s="64"/>
      <c r="S69" s="64"/>
      <c r="T69" s="64"/>
      <c r="U69" s="64"/>
      <c r="V69" s="64"/>
    </row>
    <row r="70" spans="2:22" x14ac:dyDescent="0.3">
      <c r="B70" s="31" t="s">
        <v>196</v>
      </c>
      <c r="C70" s="39"/>
      <c r="D70" s="59"/>
      <c r="E70" s="19"/>
      <c r="G70" s="19"/>
      <c r="J70" s="64"/>
      <c r="K70" s="64"/>
      <c r="L70" s="64"/>
      <c r="M70" s="64"/>
      <c r="N70" s="64"/>
      <c r="O70" s="64"/>
      <c r="Q70" s="64"/>
      <c r="R70" s="64"/>
      <c r="S70" s="64"/>
      <c r="T70" s="64"/>
      <c r="U70" s="64"/>
      <c r="V70" s="64"/>
    </row>
    <row r="71" spans="2:22" x14ac:dyDescent="0.3">
      <c r="B71" s="19" t="s">
        <v>193</v>
      </c>
      <c r="C71" s="19">
        <v>103.98</v>
      </c>
      <c r="D71">
        <v>114.98</v>
      </c>
      <c r="E71" s="19">
        <v>65.569999999999993</v>
      </c>
      <c r="F71">
        <v>67.42</v>
      </c>
      <c r="G71" s="19">
        <v>25.76</v>
      </c>
      <c r="J71" s="64"/>
      <c r="K71" s="64"/>
      <c r="L71" s="64"/>
      <c r="M71" s="64"/>
      <c r="N71" s="64"/>
      <c r="O71" s="64"/>
      <c r="Q71" s="64"/>
      <c r="R71" s="64"/>
      <c r="S71" s="64"/>
      <c r="T71" s="64"/>
      <c r="U71" s="64"/>
      <c r="V71" s="64"/>
    </row>
    <row r="72" spans="2:22" x14ac:dyDescent="0.3">
      <c r="B72" s="19" t="s">
        <v>194</v>
      </c>
      <c r="C72" s="19">
        <v>103.88</v>
      </c>
      <c r="D72" s="55">
        <v>114.8</v>
      </c>
      <c r="E72" s="19">
        <v>65.5</v>
      </c>
      <c r="F72" s="6">
        <v>67.38</v>
      </c>
      <c r="G72" s="19">
        <v>25.74</v>
      </c>
      <c r="J72" s="64"/>
      <c r="K72" s="64"/>
      <c r="L72" s="64"/>
      <c r="M72" s="64"/>
      <c r="N72" s="64"/>
      <c r="O72" s="64"/>
      <c r="Q72" s="64"/>
      <c r="R72" s="64"/>
      <c r="S72" s="64"/>
      <c r="T72" s="64"/>
      <c r="U72" s="64"/>
      <c r="V72" s="64"/>
    </row>
    <row r="73" spans="2:22" x14ac:dyDescent="0.3">
      <c r="B73" s="42"/>
      <c r="C73" s="42"/>
      <c r="D73" s="61"/>
      <c r="E73" s="4"/>
      <c r="F73" s="16"/>
      <c r="G73" s="4"/>
      <c r="J73" s="64"/>
      <c r="K73" s="64"/>
      <c r="L73" s="64"/>
      <c r="M73" s="64"/>
      <c r="N73" s="64"/>
      <c r="O73" s="64"/>
      <c r="Q73" s="64"/>
      <c r="R73" s="64"/>
      <c r="S73" s="64"/>
      <c r="T73" s="64"/>
      <c r="U73" s="64"/>
      <c r="V73" s="64"/>
    </row>
    <row r="74" spans="2:22" x14ac:dyDescent="0.3">
      <c r="D74" s="10"/>
    </row>
    <row r="79" spans="2:22" x14ac:dyDescent="0.3">
      <c r="C79" s="9"/>
      <c r="D79" s="9"/>
      <c r="E79" s="9"/>
    </row>
    <row r="81" spans="3:7" x14ac:dyDescent="0.3">
      <c r="C81" s="55"/>
      <c r="D81" s="55"/>
      <c r="E81" s="55"/>
    </row>
    <row r="83" spans="3:7" x14ac:dyDescent="0.3">
      <c r="C83" s="55"/>
      <c r="D83" s="55"/>
      <c r="E83" s="55"/>
      <c r="F83" s="55"/>
      <c r="G83" s="55"/>
    </row>
  </sheetData>
  <mergeCells count="10">
    <mergeCell ref="B2:G2"/>
    <mergeCell ref="B3:G3"/>
    <mergeCell ref="J2:O2"/>
    <mergeCell ref="Q2:V2"/>
    <mergeCell ref="J9:J11"/>
    <mergeCell ref="K9:K11"/>
    <mergeCell ref="L9:L11"/>
    <mergeCell ref="M9:M11"/>
    <mergeCell ref="N9:N11"/>
    <mergeCell ref="O9:O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B2:H113"/>
  <sheetViews>
    <sheetView zoomScaleNormal="100" workbookViewId="0">
      <pane xSplit="2" ySplit="4" topLeftCell="C70" activePane="bottomRight" state="frozen"/>
      <selection pane="topRight" activeCell="C1" sqref="C1"/>
      <selection pane="bottomLeft" activeCell="A5" sqref="A5"/>
      <selection pane="bottomRight" activeCell="K75" sqref="K75"/>
    </sheetView>
  </sheetViews>
  <sheetFormatPr defaultRowHeight="14.4" x14ac:dyDescent="0.3"/>
  <cols>
    <col min="1" max="1" width="4.6640625" customWidth="1"/>
    <col min="2" max="2" width="76.77734375" customWidth="1"/>
    <col min="3" max="5" width="9.88671875" bestFit="1" customWidth="1"/>
    <col min="6" max="7" width="10.5546875" bestFit="1" customWidth="1"/>
  </cols>
  <sheetData>
    <row r="2" spans="2:8" ht="15.6" x14ac:dyDescent="0.3">
      <c r="B2" s="295" t="s">
        <v>154</v>
      </c>
      <c r="C2" s="296"/>
      <c r="D2" s="296"/>
      <c r="E2" s="296"/>
      <c r="F2" s="296"/>
      <c r="G2" s="297"/>
      <c r="H2" s="32"/>
    </row>
    <row r="3" spans="2:8" ht="15.6" x14ac:dyDescent="0.3">
      <c r="B3" s="298" t="s">
        <v>155</v>
      </c>
      <c r="C3" s="299"/>
      <c r="D3" s="299"/>
      <c r="E3" s="299"/>
      <c r="F3" s="299"/>
      <c r="G3" s="300"/>
      <c r="H3" s="33"/>
    </row>
    <row r="4" spans="2:8" ht="28.8" x14ac:dyDescent="0.3">
      <c r="B4" s="2" t="s">
        <v>0</v>
      </c>
      <c r="C4" s="1" t="s">
        <v>60</v>
      </c>
      <c r="D4" s="30" t="s">
        <v>61</v>
      </c>
      <c r="E4" s="1" t="s">
        <v>57</v>
      </c>
      <c r="F4" s="18" t="s">
        <v>62</v>
      </c>
      <c r="G4" s="1" t="s">
        <v>63</v>
      </c>
      <c r="H4" s="34"/>
    </row>
    <row r="5" spans="2:8" x14ac:dyDescent="0.3">
      <c r="B5" s="5" t="s">
        <v>197</v>
      </c>
      <c r="C5" s="113"/>
      <c r="D5" s="49"/>
      <c r="E5" s="137"/>
      <c r="F5" s="137"/>
      <c r="G5" s="6"/>
    </row>
    <row r="6" spans="2:8" x14ac:dyDescent="0.3">
      <c r="B6" s="19" t="s">
        <v>198</v>
      </c>
      <c r="C6" s="82">
        <v>14517.75</v>
      </c>
      <c r="D6" s="83">
        <v>12246.53</v>
      </c>
      <c r="E6" s="83">
        <v>9582.2099999999991</v>
      </c>
      <c r="F6" s="83">
        <v>6084.61</v>
      </c>
      <c r="G6" s="83">
        <v>5134.3999999999996</v>
      </c>
    </row>
    <row r="7" spans="2:8" x14ac:dyDescent="0.3">
      <c r="B7" s="40" t="s">
        <v>199</v>
      </c>
      <c r="C7" s="19"/>
      <c r="D7" s="20"/>
      <c r="E7" s="19"/>
      <c r="F7" s="19"/>
      <c r="G7" s="19"/>
    </row>
    <row r="8" spans="2:8" x14ac:dyDescent="0.3">
      <c r="B8" s="19" t="s">
        <v>200</v>
      </c>
      <c r="C8" s="6">
        <v>88.03</v>
      </c>
      <c r="D8" s="19">
        <v>69.11</v>
      </c>
      <c r="E8" s="19">
        <v>314.3</v>
      </c>
      <c r="F8" s="83">
        <v>1382.1</v>
      </c>
      <c r="G8" s="83">
        <v>2688.4</v>
      </c>
    </row>
    <row r="9" spans="2:8" x14ac:dyDescent="0.3">
      <c r="B9" s="19" t="s">
        <v>53</v>
      </c>
      <c r="C9" s="82">
        <v>4551.59</v>
      </c>
      <c r="D9" s="83">
        <v>4161.07</v>
      </c>
      <c r="E9" s="83">
        <v>4033.4</v>
      </c>
      <c r="F9" s="83">
        <v>4040.82</v>
      </c>
      <c r="G9" s="83">
        <v>3571.38</v>
      </c>
    </row>
    <row r="10" spans="2:8" x14ac:dyDescent="0.3">
      <c r="B10" s="19" t="s">
        <v>201</v>
      </c>
      <c r="C10" s="82">
        <v>1320.27</v>
      </c>
      <c r="D10" s="83">
        <v>1295.7</v>
      </c>
      <c r="E10" s="83">
        <v>1808.88</v>
      </c>
      <c r="F10" s="83">
        <v>2338.5</v>
      </c>
      <c r="G10" s="83">
        <v>2009.85</v>
      </c>
    </row>
    <row r="11" spans="2:8" x14ac:dyDescent="0.3">
      <c r="B11" s="19" t="s">
        <v>202</v>
      </c>
      <c r="C11" s="6">
        <v>380.58</v>
      </c>
      <c r="D11" s="19">
        <v>219.62</v>
      </c>
      <c r="E11" s="19">
        <v>150.57</v>
      </c>
      <c r="F11" s="19">
        <v>150.51</v>
      </c>
      <c r="G11" s="19">
        <v>199.19</v>
      </c>
    </row>
    <row r="12" spans="2:8" x14ac:dyDescent="0.3">
      <c r="B12" s="19" t="s">
        <v>203</v>
      </c>
      <c r="C12" s="6">
        <v>40.4</v>
      </c>
      <c r="D12" s="19">
        <v>31.28</v>
      </c>
      <c r="E12" s="83">
        <v>13.89</v>
      </c>
      <c r="F12" s="19">
        <v>61.54</v>
      </c>
      <c r="G12" s="19">
        <v>86.48</v>
      </c>
    </row>
    <row r="13" spans="2:8" x14ac:dyDescent="0.3">
      <c r="B13" t="s">
        <v>284</v>
      </c>
      <c r="C13" s="6"/>
      <c r="D13" s="19"/>
      <c r="E13" s="83"/>
      <c r="F13" s="19">
        <v>18.559999999999999</v>
      </c>
      <c r="G13" s="19">
        <v>30.5</v>
      </c>
    </row>
    <row r="14" spans="2:8" x14ac:dyDescent="0.3">
      <c r="B14" s="19" t="s">
        <v>204</v>
      </c>
      <c r="C14" s="6">
        <v>118.34</v>
      </c>
      <c r="D14" s="19">
        <v>66.650000000000006</v>
      </c>
      <c r="E14" s="19">
        <v>39.22</v>
      </c>
      <c r="F14" s="19">
        <v>73.64</v>
      </c>
      <c r="G14" s="19">
        <v>117.5</v>
      </c>
    </row>
    <row r="15" spans="2:8" x14ac:dyDescent="0.3">
      <c r="B15" s="19" t="s">
        <v>205</v>
      </c>
      <c r="C15" s="6">
        <v>9.7799999999999994</v>
      </c>
      <c r="D15" s="19">
        <v>15.97</v>
      </c>
      <c r="E15" s="50">
        <v>7.34</v>
      </c>
      <c r="F15" s="19">
        <v>11.28</v>
      </c>
      <c r="G15" s="19">
        <v>8.1199999999999992</v>
      </c>
    </row>
    <row r="16" spans="2:8" x14ac:dyDescent="0.3">
      <c r="B16" t="s">
        <v>285</v>
      </c>
      <c r="C16" s="6"/>
      <c r="D16" s="19"/>
      <c r="E16" s="50"/>
      <c r="F16" s="19">
        <v>17.149999999999999</v>
      </c>
      <c r="G16" s="19">
        <v>6.29</v>
      </c>
    </row>
    <row r="17" spans="2:8" x14ac:dyDescent="0.3">
      <c r="B17" s="19" t="s">
        <v>206</v>
      </c>
      <c r="C17" s="82">
        <v>7451.57</v>
      </c>
      <c r="D17" s="83">
        <v>4240.83</v>
      </c>
      <c r="E17" s="83">
        <v>4374.83</v>
      </c>
      <c r="F17" s="83">
        <v>1032.26</v>
      </c>
      <c r="G17" s="83">
        <v>1408.88</v>
      </c>
    </row>
    <row r="18" spans="2:8" x14ac:dyDescent="0.3">
      <c r="B18" s="19" t="s">
        <v>207</v>
      </c>
      <c r="C18" s="6">
        <v>983.46</v>
      </c>
      <c r="D18" s="19">
        <v>731.33</v>
      </c>
      <c r="E18" s="19">
        <v>772.36</v>
      </c>
      <c r="F18" s="19">
        <v>780.31</v>
      </c>
      <c r="G18" s="19">
        <v>322.62</v>
      </c>
    </row>
    <row r="19" spans="2:8" x14ac:dyDescent="0.3">
      <c r="B19" s="19" t="s">
        <v>208</v>
      </c>
      <c r="C19" s="6">
        <v>143.82</v>
      </c>
      <c r="D19" s="19">
        <v>145.51</v>
      </c>
      <c r="E19" s="19">
        <v>92.62</v>
      </c>
      <c r="F19" s="19">
        <v>150.13999999999999</v>
      </c>
      <c r="G19" s="19">
        <v>90.32</v>
      </c>
    </row>
    <row r="20" spans="2:8" x14ac:dyDescent="0.3">
      <c r="B20" s="19" t="s">
        <v>209</v>
      </c>
      <c r="C20" s="6">
        <v>10.64</v>
      </c>
      <c r="D20" s="19">
        <v>7.71</v>
      </c>
      <c r="E20" s="19">
        <v>8.1999999999999993</v>
      </c>
      <c r="F20" s="19">
        <v>38.950000000000003</v>
      </c>
      <c r="G20" s="19">
        <v>13.87</v>
      </c>
    </row>
    <row r="21" spans="2:8" x14ac:dyDescent="0.3">
      <c r="B21" s="8" t="s">
        <v>210</v>
      </c>
      <c r="C21" s="6">
        <v>78.569999999999993</v>
      </c>
      <c r="D21" s="19">
        <v>220.44</v>
      </c>
      <c r="E21" s="83">
        <v>205.91</v>
      </c>
      <c r="F21" s="19">
        <v>121.7</v>
      </c>
      <c r="G21" s="19">
        <v>159.49</v>
      </c>
    </row>
    <row r="22" spans="2:8" x14ac:dyDescent="0.3">
      <c r="B22" s="19" t="s">
        <v>211</v>
      </c>
      <c r="C22" s="6">
        <v>339.86</v>
      </c>
      <c r="D22" s="19">
        <v>640.05999999999995</v>
      </c>
      <c r="E22" s="83">
        <v>1117.3900000000001</v>
      </c>
      <c r="F22" s="19">
        <v>527.26</v>
      </c>
      <c r="G22" s="19">
        <v>434.51</v>
      </c>
    </row>
    <row r="23" spans="2:8" x14ac:dyDescent="0.3">
      <c r="B23" s="19" t="s">
        <v>212</v>
      </c>
      <c r="C23" s="6">
        <v>102.43</v>
      </c>
      <c r="D23" s="19">
        <v>55.77</v>
      </c>
      <c r="E23" s="83">
        <v>12.85</v>
      </c>
      <c r="F23" s="20"/>
      <c r="G23" s="20"/>
    </row>
    <row r="24" spans="2:8" x14ac:dyDescent="0.3">
      <c r="B24" s="19" t="s">
        <v>213</v>
      </c>
      <c r="C24" s="20"/>
      <c r="D24" s="19">
        <v>7.88</v>
      </c>
      <c r="E24" s="20"/>
      <c r="F24" s="20"/>
      <c r="G24" s="20"/>
    </row>
    <row r="25" spans="2:8" x14ac:dyDescent="0.3">
      <c r="B25" s="19" t="s">
        <v>214</v>
      </c>
      <c r="C25" s="6">
        <v>50.26</v>
      </c>
      <c r="D25" s="19">
        <v>74.44</v>
      </c>
      <c r="E25" s="19">
        <v>48.83</v>
      </c>
      <c r="F25" s="20"/>
      <c r="G25" s="20"/>
    </row>
    <row r="26" spans="2:8" x14ac:dyDescent="0.3">
      <c r="B26" s="19" t="s">
        <v>215</v>
      </c>
      <c r="C26" s="83">
        <v>3.77</v>
      </c>
      <c r="D26" s="20"/>
      <c r="E26" s="83">
        <v>0.84</v>
      </c>
      <c r="F26" s="19">
        <v>10.09</v>
      </c>
      <c r="G26" s="19">
        <v>45.96</v>
      </c>
    </row>
    <row r="27" spans="2:8" x14ac:dyDescent="0.3">
      <c r="B27" s="19" t="s">
        <v>216</v>
      </c>
      <c r="C27" s="83">
        <v>2754.77</v>
      </c>
      <c r="D27" s="20"/>
      <c r="E27" s="20"/>
      <c r="F27" s="20"/>
      <c r="G27" s="19"/>
    </row>
    <row r="28" spans="2:8" x14ac:dyDescent="0.3">
      <c r="B28" s="19" t="s">
        <v>217</v>
      </c>
      <c r="C28" s="83">
        <v>25165.01</v>
      </c>
      <c r="D28" s="83">
        <v>21407.96</v>
      </c>
      <c r="E28" s="102">
        <v>19299.52</v>
      </c>
      <c r="F28" s="83">
        <v>14817.12</v>
      </c>
      <c r="G28" s="83">
        <v>14283.28</v>
      </c>
      <c r="H28" s="31"/>
    </row>
    <row r="29" spans="2:8" x14ac:dyDescent="0.3">
      <c r="B29" s="40" t="s">
        <v>52</v>
      </c>
      <c r="C29" s="28"/>
      <c r="D29" s="28"/>
      <c r="E29" s="20"/>
      <c r="F29" s="20"/>
      <c r="G29" s="20"/>
    </row>
    <row r="30" spans="2:8" x14ac:dyDescent="0.3">
      <c r="B30" s="19" t="s">
        <v>77</v>
      </c>
      <c r="C30" s="6">
        <v>455.24</v>
      </c>
      <c r="D30" s="83">
        <v>1074.49</v>
      </c>
      <c r="E30" s="64">
        <v>4.2</v>
      </c>
      <c r="F30" s="83">
        <v>1027.8</v>
      </c>
      <c r="G30" s="83">
        <v>1269.51</v>
      </c>
    </row>
    <row r="31" spans="2:8" x14ac:dyDescent="0.3">
      <c r="B31" s="19" t="s">
        <v>218</v>
      </c>
      <c r="C31" s="102">
        <v>27972.19</v>
      </c>
      <c r="D31" s="102">
        <v>7100.48</v>
      </c>
      <c r="E31" s="83">
        <v>2111.39</v>
      </c>
      <c r="F31" s="83">
        <v>2719.07</v>
      </c>
      <c r="G31" s="83">
        <v>11643.53</v>
      </c>
    </row>
    <row r="32" spans="2:8" x14ac:dyDescent="0.3">
      <c r="B32" s="19" t="s">
        <v>219</v>
      </c>
      <c r="C32" s="82">
        <v>1251.53</v>
      </c>
      <c r="D32" s="83">
        <v>1322.62</v>
      </c>
      <c r="E32" s="83">
        <v>814.64</v>
      </c>
      <c r="F32" s="19">
        <v>431.34</v>
      </c>
      <c r="G32" s="83">
        <v>1161.06</v>
      </c>
    </row>
    <row r="33" spans="2:7" x14ac:dyDescent="0.3">
      <c r="B33" s="19" t="s">
        <v>16</v>
      </c>
      <c r="C33" s="82">
        <v>1598.39</v>
      </c>
      <c r="D33" s="83">
        <v>3340.81</v>
      </c>
      <c r="E33" s="83">
        <v>3889.76</v>
      </c>
      <c r="F33" s="83">
        <v>234.47</v>
      </c>
      <c r="G33" s="83">
        <v>353.67</v>
      </c>
    </row>
    <row r="34" spans="2:7" x14ac:dyDescent="0.3">
      <c r="B34" s="19" t="s">
        <v>220</v>
      </c>
      <c r="C34" s="82">
        <v>3008.57</v>
      </c>
      <c r="D34" s="83">
        <v>4830.4799999999996</v>
      </c>
      <c r="E34" s="83">
        <v>4269.6499999999996</v>
      </c>
      <c r="F34" s="19">
        <v>988.85</v>
      </c>
      <c r="G34" s="83">
        <v>1512.51</v>
      </c>
    </row>
    <row r="35" spans="2:7" x14ac:dyDescent="0.3">
      <c r="B35" s="19" t="s">
        <v>221</v>
      </c>
      <c r="C35" s="82">
        <v>7486.55</v>
      </c>
      <c r="D35" s="83">
        <v>3396.75</v>
      </c>
      <c r="E35" s="83">
        <v>4269.6499999999996</v>
      </c>
      <c r="F35" s="19">
        <v>951.4</v>
      </c>
      <c r="G35" s="83">
        <v>1153.07</v>
      </c>
    </row>
    <row r="36" spans="2:7" x14ac:dyDescent="0.3">
      <c r="B36" s="40" t="s">
        <v>54</v>
      </c>
      <c r="C36" s="82">
        <v>10590.32</v>
      </c>
      <c r="D36" s="83">
        <v>10003.290000000001</v>
      </c>
      <c r="E36" s="83">
        <v>16544.82</v>
      </c>
      <c r="F36" s="83">
        <v>18404.57</v>
      </c>
      <c r="G36" s="19">
        <v>214.95</v>
      </c>
    </row>
    <row r="37" spans="2:7" x14ac:dyDescent="0.3">
      <c r="B37" s="19" t="s">
        <v>222</v>
      </c>
      <c r="C37" s="82">
        <v>2094.8200000000002</v>
      </c>
      <c r="D37" s="83">
        <v>2965.64</v>
      </c>
      <c r="E37" s="85">
        <v>1843.94</v>
      </c>
      <c r="F37" s="85">
        <v>1738.52</v>
      </c>
      <c r="G37" s="129">
        <v>1873.53</v>
      </c>
    </row>
    <row r="38" spans="2:7" x14ac:dyDescent="0.3">
      <c r="B38" s="40" t="s">
        <v>223</v>
      </c>
      <c r="C38" s="82">
        <v>12685.14</v>
      </c>
      <c r="D38" s="83">
        <v>7037.65</v>
      </c>
      <c r="E38" s="83">
        <v>14700.88</v>
      </c>
      <c r="F38" s="83">
        <v>16666.05</v>
      </c>
      <c r="G38" s="83">
        <v>1658.58</v>
      </c>
    </row>
    <row r="39" spans="2:7" x14ac:dyDescent="0.3">
      <c r="B39" s="37" t="s">
        <v>224</v>
      </c>
      <c r="C39" s="45"/>
      <c r="D39" s="46"/>
      <c r="E39" s="46"/>
      <c r="F39" s="131"/>
      <c r="G39" s="131"/>
    </row>
    <row r="40" spans="2:7" x14ac:dyDescent="0.3">
      <c r="B40" s="19" t="s">
        <v>225</v>
      </c>
      <c r="C40" s="82">
        <v>12036.16</v>
      </c>
      <c r="D40" s="83">
        <v>8587.68</v>
      </c>
      <c r="E40" s="83">
        <v>3651.04</v>
      </c>
      <c r="F40" s="83">
        <v>5130.3599999999997</v>
      </c>
      <c r="G40" s="83">
        <v>4178.95</v>
      </c>
    </row>
    <row r="41" spans="2:7" x14ac:dyDescent="0.3">
      <c r="B41" s="19" t="s">
        <v>226</v>
      </c>
      <c r="C41" s="6">
        <v>111.49</v>
      </c>
      <c r="D41" s="19">
        <v>82.56</v>
      </c>
      <c r="E41" s="83">
        <v>98.34</v>
      </c>
      <c r="F41" s="19">
        <v>94.26</v>
      </c>
      <c r="G41" s="19">
        <v>170.18</v>
      </c>
    </row>
    <row r="42" spans="2:7" x14ac:dyDescent="0.3">
      <c r="B42" s="19" t="s">
        <v>227</v>
      </c>
      <c r="C42" s="6">
        <v>19.34</v>
      </c>
      <c r="D42" s="19">
        <v>41.6</v>
      </c>
      <c r="E42" s="3"/>
      <c r="F42" s="83"/>
      <c r="G42" s="19">
        <v>35.07</v>
      </c>
    </row>
    <row r="43" spans="2:7" x14ac:dyDescent="0.3">
      <c r="B43" t="s">
        <v>286</v>
      </c>
      <c r="C43" s="6"/>
      <c r="D43" s="19"/>
      <c r="E43" s="3"/>
      <c r="F43" s="19">
        <v>4.33</v>
      </c>
      <c r="G43" s="19">
        <v>123.98</v>
      </c>
    </row>
    <row r="44" spans="2:7" x14ac:dyDescent="0.3">
      <c r="B44" t="s">
        <v>287</v>
      </c>
      <c r="C44" s="6"/>
      <c r="D44" s="19"/>
      <c r="E44" s="3"/>
      <c r="F44" s="19">
        <v>10.199999999999999</v>
      </c>
      <c r="G44" s="19"/>
    </row>
    <row r="45" spans="2:7" ht="15.6" customHeight="1" x14ac:dyDescent="0.3">
      <c r="B45" s="19" t="s">
        <v>228</v>
      </c>
      <c r="C45" s="6">
        <v>858.73</v>
      </c>
      <c r="D45" s="19">
        <v>35.159999999999997</v>
      </c>
      <c r="E45" s="19">
        <v>17.55</v>
      </c>
      <c r="F45" s="83">
        <v>0.05</v>
      </c>
      <c r="G45" s="83">
        <v>95.22</v>
      </c>
    </row>
    <row r="46" spans="2:7" x14ac:dyDescent="0.3">
      <c r="B46" s="19" t="s">
        <v>229</v>
      </c>
      <c r="C46" s="82">
        <v>6858.23</v>
      </c>
      <c r="D46" s="83">
        <v>14386.13</v>
      </c>
      <c r="E46" s="83">
        <v>5617.01</v>
      </c>
      <c r="F46" s="83">
        <v>3507.26</v>
      </c>
      <c r="G46" s="83">
        <v>4458.5600000000004</v>
      </c>
    </row>
    <row r="47" spans="2:7" x14ac:dyDescent="0.3">
      <c r="B47" s="8" t="s">
        <v>279</v>
      </c>
      <c r="C47" s="82"/>
      <c r="D47" s="83"/>
      <c r="E47" s="83"/>
      <c r="F47" s="19">
        <v>8.5500000000000007</v>
      </c>
      <c r="G47" s="19">
        <v>187.99</v>
      </c>
    </row>
    <row r="48" spans="2:7" x14ac:dyDescent="0.3">
      <c r="B48" s="8" t="s">
        <v>280</v>
      </c>
      <c r="C48" s="82"/>
      <c r="D48" s="83"/>
      <c r="E48" s="19">
        <v>10.09</v>
      </c>
      <c r="F48" s="19">
        <v>0.51</v>
      </c>
      <c r="G48" s="20"/>
    </row>
    <row r="49" spans="2:7" x14ac:dyDescent="0.3">
      <c r="B49" s="19" t="s">
        <v>230</v>
      </c>
      <c r="C49" s="82">
        <v>7605.95</v>
      </c>
      <c r="D49" s="83">
        <v>6613.64</v>
      </c>
      <c r="E49" s="83">
        <v>12808.56</v>
      </c>
      <c r="F49" s="83">
        <v>6717.18</v>
      </c>
      <c r="G49" s="121">
        <v>2007.42</v>
      </c>
    </row>
    <row r="50" spans="2:7" x14ac:dyDescent="0.3">
      <c r="B50" t="s">
        <v>288</v>
      </c>
      <c r="C50" s="82"/>
      <c r="D50" s="83"/>
      <c r="E50" s="83"/>
      <c r="F50" s="19">
        <v>829.21</v>
      </c>
      <c r="G50" s="19">
        <v>404.48</v>
      </c>
    </row>
    <row r="51" spans="2:7" x14ac:dyDescent="0.3">
      <c r="B51" s="19" t="s">
        <v>231</v>
      </c>
      <c r="C51" s="6">
        <v>104.76</v>
      </c>
      <c r="D51" s="83">
        <v>4176.5200000000004</v>
      </c>
      <c r="E51" s="83">
        <v>3374.28</v>
      </c>
      <c r="F51" s="19"/>
      <c r="G51" s="19"/>
    </row>
    <row r="52" spans="2:7" x14ac:dyDescent="0.3">
      <c r="B52" t="s">
        <v>281</v>
      </c>
      <c r="C52" s="6"/>
      <c r="D52" s="83"/>
      <c r="E52" s="83"/>
      <c r="F52" s="19">
        <v>156.69</v>
      </c>
      <c r="G52" s="19">
        <v>7.0000000000000007E-2</v>
      </c>
    </row>
    <row r="53" spans="2:7" x14ac:dyDescent="0.3">
      <c r="B53" t="s">
        <v>289</v>
      </c>
      <c r="C53" s="6"/>
      <c r="D53" s="83"/>
      <c r="E53" s="83"/>
      <c r="F53" s="19"/>
      <c r="G53" s="19">
        <v>35.67</v>
      </c>
    </row>
    <row r="54" spans="2:7" x14ac:dyDescent="0.3">
      <c r="B54" s="19" t="s">
        <v>232</v>
      </c>
      <c r="C54" s="6">
        <v>3.49</v>
      </c>
      <c r="D54" s="20"/>
      <c r="E54" s="20"/>
      <c r="F54" s="20"/>
      <c r="G54" s="20"/>
    </row>
    <row r="55" spans="2:7" x14ac:dyDescent="0.3">
      <c r="B55" s="19" t="s">
        <v>233</v>
      </c>
      <c r="C55" s="6">
        <v>70.19</v>
      </c>
      <c r="D55" s="19">
        <v>64.77</v>
      </c>
      <c r="E55" s="19">
        <v>121.25</v>
      </c>
      <c r="F55" s="83">
        <v>2891.14</v>
      </c>
      <c r="G55" s="121">
        <v>60.66</v>
      </c>
    </row>
    <row r="56" spans="2:7" x14ac:dyDescent="0.3">
      <c r="B56" s="19" t="s">
        <v>234</v>
      </c>
      <c r="C56" s="6">
        <v>0.1</v>
      </c>
      <c r="D56" s="20"/>
      <c r="E56" s="83"/>
      <c r="F56" s="19">
        <v>12.55</v>
      </c>
      <c r="G56" s="19">
        <v>81.34</v>
      </c>
    </row>
    <row r="57" spans="2:7" x14ac:dyDescent="0.3">
      <c r="B57" s="19" t="s">
        <v>235</v>
      </c>
      <c r="C57" s="6">
        <v>689.17</v>
      </c>
      <c r="D57" s="83">
        <v>1264.97</v>
      </c>
      <c r="E57" s="83">
        <v>1711.87</v>
      </c>
      <c r="F57" s="19">
        <v>96.94</v>
      </c>
      <c r="G57" s="19">
        <v>257.13</v>
      </c>
    </row>
    <row r="58" spans="2:7" x14ac:dyDescent="0.3">
      <c r="B58" s="19" t="s">
        <v>236</v>
      </c>
      <c r="C58" s="40"/>
      <c r="D58" s="19">
        <v>94.57</v>
      </c>
      <c r="E58" s="19">
        <v>209.51</v>
      </c>
      <c r="F58" s="19">
        <v>76.53</v>
      </c>
      <c r="G58" s="19">
        <v>52.32</v>
      </c>
    </row>
    <row r="59" spans="2:7" x14ac:dyDescent="0.3">
      <c r="B59" s="19" t="s">
        <v>237</v>
      </c>
      <c r="C59" s="6">
        <v>106.61</v>
      </c>
      <c r="D59" s="19">
        <v>16.75</v>
      </c>
      <c r="E59" s="19"/>
      <c r="F59" s="20"/>
      <c r="G59" s="20"/>
    </row>
    <row r="60" spans="2:7" x14ac:dyDescent="0.3">
      <c r="B60" s="19" t="s">
        <v>238</v>
      </c>
      <c r="C60" s="20"/>
      <c r="D60" s="19">
        <v>12.55</v>
      </c>
      <c r="E60" s="20"/>
      <c r="F60" s="20"/>
      <c r="G60" s="20"/>
    </row>
    <row r="61" spans="2:7" x14ac:dyDescent="0.3">
      <c r="B61" s="19" t="s">
        <v>239</v>
      </c>
      <c r="C61" s="20"/>
      <c r="D61" s="20">
        <v>5</v>
      </c>
      <c r="E61" s="19">
        <v>4.2</v>
      </c>
      <c r="F61" s="20"/>
      <c r="G61" s="19">
        <v>35</v>
      </c>
    </row>
    <row r="62" spans="2:7" x14ac:dyDescent="0.3">
      <c r="B62" s="19" t="s">
        <v>240</v>
      </c>
      <c r="C62" s="6">
        <v>112.69</v>
      </c>
      <c r="D62" s="19">
        <v>7.2</v>
      </c>
      <c r="E62" s="19">
        <v>6.4</v>
      </c>
      <c r="F62" s="19">
        <v>2.2000000000000002</v>
      </c>
      <c r="G62" s="19">
        <v>35</v>
      </c>
    </row>
    <row r="63" spans="2:7" x14ac:dyDescent="0.3">
      <c r="B63" t="s">
        <v>290</v>
      </c>
      <c r="C63" s="6"/>
      <c r="D63" s="19"/>
      <c r="E63" s="19"/>
      <c r="F63" s="19"/>
      <c r="G63" s="19">
        <v>31.88</v>
      </c>
    </row>
    <row r="64" spans="2:7" x14ac:dyDescent="0.3">
      <c r="B64" s="19" t="s">
        <v>55</v>
      </c>
      <c r="C64" s="6">
        <v>312.01</v>
      </c>
      <c r="D64" s="19">
        <v>191.18</v>
      </c>
      <c r="E64" s="19">
        <v>115.66</v>
      </c>
      <c r="F64" s="19">
        <v>125.81</v>
      </c>
      <c r="G64" s="19">
        <v>178.8</v>
      </c>
    </row>
    <row r="65" spans="2:7" x14ac:dyDescent="0.3">
      <c r="B65" s="19" t="s">
        <v>241</v>
      </c>
      <c r="C65" s="6">
        <v>196.67</v>
      </c>
      <c r="D65" s="19">
        <v>147.91999999999999</v>
      </c>
      <c r="E65" s="19">
        <v>85.29</v>
      </c>
      <c r="F65" s="19">
        <v>229.84</v>
      </c>
      <c r="G65" s="19">
        <v>239.48</v>
      </c>
    </row>
    <row r="66" spans="2:7" x14ac:dyDescent="0.3">
      <c r="B66" s="40" t="s">
        <v>242</v>
      </c>
      <c r="C66" s="82">
        <v>13686.71</v>
      </c>
      <c r="D66" s="83">
        <v>3543.18</v>
      </c>
      <c r="E66" s="20">
        <v>9216.91</v>
      </c>
      <c r="F66" s="83">
        <v>11635.37</v>
      </c>
      <c r="G66" s="20">
        <v>2271</v>
      </c>
    </row>
    <row r="67" spans="2:7" x14ac:dyDescent="0.3">
      <c r="B67" s="37" t="s">
        <v>243</v>
      </c>
      <c r="C67" s="20"/>
      <c r="D67" s="20"/>
      <c r="E67" s="20"/>
      <c r="F67" s="20"/>
      <c r="G67" s="20"/>
    </row>
    <row r="68" spans="2:7" x14ac:dyDescent="0.3">
      <c r="B68" s="19" t="s">
        <v>244</v>
      </c>
      <c r="C68" s="6">
        <v>16.62</v>
      </c>
      <c r="D68" s="19">
        <v>8.9499999999999993</v>
      </c>
      <c r="E68" s="19">
        <v>12.6</v>
      </c>
      <c r="F68" s="134">
        <v>9.02</v>
      </c>
      <c r="G68" s="134">
        <v>8.58</v>
      </c>
    </row>
    <row r="69" spans="2:7" x14ac:dyDescent="0.3">
      <c r="B69" s="19" t="s">
        <v>245</v>
      </c>
      <c r="C69" s="6">
        <v>222.57</v>
      </c>
      <c r="D69" s="19">
        <v>153.13999999999999</v>
      </c>
      <c r="E69" s="20"/>
      <c r="F69" s="133"/>
      <c r="G69" s="133"/>
    </row>
    <row r="70" spans="2:7" x14ac:dyDescent="0.3">
      <c r="B70" s="19" t="s">
        <v>246</v>
      </c>
      <c r="C70" s="6">
        <v>18.23</v>
      </c>
      <c r="D70" s="19">
        <v>19.149999999999999</v>
      </c>
      <c r="E70" s="20"/>
      <c r="F70" s="133"/>
      <c r="G70" s="133"/>
    </row>
    <row r="71" spans="2:7" x14ac:dyDescent="0.3">
      <c r="B71" s="19" t="s">
        <v>247</v>
      </c>
      <c r="C71" s="6">
        <v>327.96</v>
      </c>
      <c r="D71" s="19">
        <v>327.96</v>
      </c>
      <c r="E71" s="19">
        <v>166.82</v>
      </c>
      <c r="F71" s="83">
        <v>1511.96</v>
      </c>
      <c r="G71" s="19">
        <v>171.61</v>
      </c>
    </row>
    <row r="72" spans="2:7" x14ac:dyDescent="0.3">
      <c r="B72" s="19" t="s">
        <v>248</v>
      </c>
      <c r="C72" s="6">
        <v>3.95</v>
      </c>
      <c r="D72" s="20"/>
      <c r="E72" s="19">
        <v>0.34</v>
      </c>
      <c r="F72" s="19">
        <v>4.95</v>
      </c>
      <c r="G72" s="19">
        <v>1.92</v>
      </c>
    </row>
    <row r="73" spans="2:7" x14ac:dyDescent="0.3">
      <c r="B73" s="19" t="s">
        <v>249</v>
      </c>
      <c r="C73" s="82">
        <v>39810.269999999997</v>
      </c>
      <c r="D73" s="83">
        <v>15178.98</v>
      </c>
      <c r="E73" s="83">
        <v>15895.19</v>
      </c>
      <c r="F73" s="134">
        <v>18849.740000000002</v>
      </c>
      <c r="G73" s="134">
        <v>31166.09</v>
      </c>
    </row>
    <row r="74" spans="2:7" x14ac:dyDescent="0.3">
      <c r="B74" s="19" t="s">
        <v>250</v>
      </c>
      <c r="C74" s="82">
        <v>16403.82</v>
      </c>
      <c r="D74" s="83">
        <v>21014.15</v>
      </c>
      <c r="E74" s="83">
        <v>20737.89</v>
      </c>
      <c r="F74" s="134">
        <v>14068.98</v>
      </c>
      <c r="G74" s="134">
        <v>21367.85</v>
      </c>
    </row>
    <row r="75" spans="2:7" x14ac:dyDescent="0.3">
      <c r="B75" s="19" t="s">
        <v>251</v>
      </c>
      <c r="C75" s="82">
        <v>5748.28</v>
      </c>
      <c r="D75" s="83">
        <v>1544.38</v>
      </c>
      <c r="E75" s="19">
        <v>785.05</v>
      </c>
      <c r="F75" s="83">
        <v>6315.95</v>
      </c>
      <c r="G75" s="83">
        <v>3266.96</v>
      </c>
    </row>
    <row r="76" spans="2:7" x14ac:dyDescent="0.3">
      <c r="B76" s="19" t="s">
        <v>252</v>
      </c>
      <c r="C76" s="6">
        <v>183.4</v>
      </c>
      <c r="D76" s="19">
        <v>183.4</v>
      </c>
      <c r="E76" s="20"/>
      <c r="F76" s="134"/>
      <c r="G76" s="134"/>
    </row>
    <row r="77" spans="2:7" x14ac:dyDescent="0.3">
      <c r="B77" s="19" t="s">
        <v>253</v>
      </c>
      <c r="C77" s="6">
        <v>28.6</v>
      </c>
      <c r="D77" s="19">
        <v>60.93</v>
      </c>
      <c r="E77" s="19">
        <v>71.42</v>
      </c>
      <c r="F77" s="134"/>
      <c r="G77" s="134"/>
    </row>
    <row r="78" spans="2:7" x14ac:dyDescent="0.3">
      <c r="B78" s="19" t="s">
        <v>254</v>
      </c>
      <c r="C78" s="6">
        <v>3</v>
      </c>
      <c r="D78" s="19">
        <v>50.43</v>
      </c>
      <c r="E78" s="19">
        <v>70.319999999999993</v>
      </c>
      <c r="F78" s="134"/>
      <c r="G78" s="134"/>
    </row>
    <row r="79" spans="2:7" x14ac:dyDescent="0.3">
      <c r="B79" s="19" t="s">
        <v>255</v>
      </c>
      <c r="C79" s="6">
        <v>319.73</v>
      </c>
      <c r="D79" s="19">
        <v>352.93</v>
      </c>
      <c r="E79" s="19">
        <v>300.89999999999998</v>
      </c>
      <c r="F79" s="19">
        <v>278.73</v>
      </c>
      <c r="G79" s="134"/>
    </row>
    <row r="80" spans="2:7" x14ac:dyDescent="0.3">
      <c r="B80" s="19" t="s">
        <v>256</v>
      </c>
      <c r="C80" s="82">
        <v>1193.8</v>
      </c>
      <c r="D80" s="83">
        <v>1322.55</v>
      </c>
      <c r="E80" s="83">
        <v>1831.46</v>
      </c>
      <c r="F80" s="83">
        <v>2174.6999999999998</v>
      </c>
      <c r="G80" s="134">
        <v>1916.75</v>
      </c>
    </row>
    <row r="81" spans="2:7" x14ac:dyDescent="0.3">
      <c r="B81" s="19" t="s">
        <v>257</v>
      </c>
      <c r="C81" s="82">
        <v>1150.56</v>
      </c>
      <c r="D81" s="83">
        <v>1065.5</v>
      </c>
      <c r="E81" s="19"/>
      <c r="F81" s="134"/>
      <c r="G81" s="134"/>
    </row>
    <row r="82" spans="2:7" x14ac:dyDescent="0.3">
      <c r="B82" s="19" t="s">
        <v>282</v>
      </c>
      <c r="C82" s="82"/>
      <c r="D82" s="83"/>
      <c r="E82" s="19">
        <v>11.54</v>
      </c>
      <c r="F82" s="19">
        <v>7.42</v>
      </c>
      <c r="G82" s="19">
        <v>9.2100000000000009</v>
      </c>
    </row>
    <row r="83" spans="2:7" x14ac:dyDescent="0.3">
      <c r="B83" s="19" t="s">
        <v>283</v>
      </c>
      <c r="C83" s="82"/>
      <c r="D83" s="83"/>
      <c r="E83" s="19">
        <v>422.07</v>
      </c>
      <c r="F83" s="19">
        <v>705.31</v>
      </c>
      <c r="G83" s="134">
        <v>625.6</v>
      </c>
    </row>
    <row r="84" spans="2:7" x14ac:dyDescent="0.3">
      <c r="B84" s="40" t="s">
        <v>258</v>
      </c>
      <c r="C84" s="99">
        <v>26469.13</v>
      </c>
      <c r="D84" s="43">
        <v>6733.13</v>
      </c>
      <c r="E84" s="43">
        <v>8013.54</v>
      </c>
      <c r="F84" s="134">
        <v>3185.32</v>
      </c>
      <c r="G84" s="134">
        <v>4157.99</v>
      </c>
    </row>
    <row r="85" spans="2:7" x14ac:dyDescent="0.3">
      <c r="B85" s="37" t="s">
        <v>259</v>
      </c>
      <c r="C85" s="6">
        <v>97.28</v>
      </c>
      <c r="D85" s="83">
        <v>3238.67</v>
      </c>
      <c r="E85" s="83">
        <v>2529.5700000000002</v>
      </c>
      <c r="F85" s="35">
        <v>1845.36</v>
      </c>
      <c r="G85">
        <v>228.41</v>
      </c>
    </row>
    <row r="86" spans="2:7" x14ac:dyDescent="0.3">
      <c r="B86" s="37" t="s">
        <v>260</v>
      </c>
      <c r="C86" s="20"/>
      <c r="D86" s="83">
        <v>2491.02</v>
      </c>
      <c r="E86" s="83">
        <v>2082.92</v>
      </c>
      <c r="F86" s="134"/>
      <c r="G86" s="134"/>
    </row>
    <row r="87" spans="2:7" x14ac:dyDescent="0.3">
      <c r="B87" s="37" t="s">
        <v>261</v>
      </c>
      <c r="C87" s="82">
        <v>2240.6999999999998</v>
      </c>
      <c r="D87" s="83">
        <v>2988.74</v>
      </c>
      <c r="E87" s="83">
        <v>3063.36</v>
      </c>
      <c r="F87" s="35">
        <v>1223.69</v>
      </c>
      <c r="G87">
        <v>936.65</v>
      </c>
    </row>
    <row r="88" spans="2:7" x14ac:dyDescent="0.3">
      <c r="B88" s="37" t="s">
        <v>262</v>
      </c>
      <c r="C88" s="6"/>
      <c r="D88" s="20">
        <v>0.08</v>
      </c>
      <c r="E88" s="19"/>
      <c r="F88" s="134"/>
      <c r="G88" s="134"/>
    </row>
    <row r="89" spans="2:7" x14ac:dyDescent="0.3">
      <c r="B89" s="37" t="s">
        <v>263</v>
      </c>
      <c r="C89" s="6">
        <v>24.81</v>
      </c>
      <c r="D89" s="20"/>
      <c r="E89" s="83"/>
      <c r="F89" s="134"/>
      <c r="G89" s="134"/>
    </row>
    <row r="90" spans="2:7" x14ac:dyDescent="0.3">
      <c r="B90" s="37" t="s">
        <v>264</v>
      </c>
      <c r="C90" s="83">
        <v>0.61</v>
      </c>
      <c r="D90" s="83">
        <v>0.47</v>
      </c>
      <c r="E90" s="19">
        <v>0.33</v>
      </c>
      <c r="F90">
        <v>3.75</v>
      </c>
      <c r="G90">
        <v>0.41</v>
      </c>
    </row>
    <row r="91" spans="2:7" x14ac:dyDescent="0.3">
      <c r="B91" s="40" t="s">
        <v>265</v>
      </c>
      <c r="C91" s="82">
        <v>2312.56</v>
      </c>
      <c r="D91" s="83">
        <v>2240.6999999999998</v>
      </c>
      <c r="E91" s="83">
        <v>2617.04</v>
      </c>
      <c r="F91" s="35">
        <v>3072.8</v>
      </c>
      <c r="G91" s="35">
        <v>1223.69</v>
      </c>
    </row>
    <row r="92" spans="2:7" x14ac:dyDescent="0.3">
      <c r="B92" t="s">
        <v>292</v>
      </c>
      <c r="C92" s="82"/>
      <c r="D92" s="83"/>
      <c r="E92" s="83"/>
      <c r="F92" s="35"/>
      <c r="G92">
        <v>50.91</v>
      </c>
    </row>
    <row r="93" spans="2:7" x14ac:dyDescent="0.3">
      <c r="B93" t="s">
        <v>293</v>
      </c>
      <c r="C93" s="82"/>
      <c r="D93" s="83"/>
      <c r="E93" s="83"/>
      <c r="F93" s="35"/>
      <c r="G93">
        <v>7.31</v>
      </c>
    </row>
    <row r="94" spans="2:7" x14ac:dyDescent="0.3">
      <c r="B94" s="37" t="s">
        <v>266</v>
      </c>
      <c r="C94" s="20"/>
      <c r="D94" s="20"/>
      <c r="E94" s="20"/>
      <c r="F94" s="134"/>
      <c r="G94" s="134"/>
    </row>
    <row r="95" spans="2:7" x14ac:dyDescent="0.3">
      <c r="B95" s="19" t="s">
        <v>267</v>
      </c>
      <c r="C95" s="20"/>
      <c r="D95" s="20"/>
      <c r="E95" s="19">
        <v>31.12</v>
      </c>
      <c r="F95" s="19">
        <v>27.46</v>
      </c>
      <c r="G95" s="19">
        <v>23.94</v>
      </c>
    </row>
    <row r="96" spans="2:7" x14ac:dyDescent="0.3">
      <c r="B96" s="19" t="s">
        <v>268</v>
      </c>
      <c r="C96" s="20"/>
      <c r="D96" s="19">
        <v>217.33</v>
      </c>
      <c r="E96" s="83">
        <v>1398.26</v>
      </c>
      <c r="F96" s="19">
        <v>34.79</v>
      </c>
      <c r="G96" s="19">
        <v>57.55</v>
      </c>
    </row>
    <row r="97" spans="2:7" x14ac:dyDescent="0.3">
      <c r="B97" s="19" t="s">
        <v>269</v>
      </c>
      <c r="C97" s="20"/>
      <c r="D97" s="19">
        <v>48.93</v>
      </c>
      <c r="E97" s="19">
        <v>686.46</v>
      </c>
      <c r="F97" s="19">
        <v>8.8000000000000007</v>
      </c>
      <c r="G97" s="134">
        <v>54.94</v>
      </c>
    </row>
    <row r="98" spans="2:7" x14ac:dyDescent="0.3">
      <c r="B98" s="19" t="s">
        <v>270</v>
      </c>
      <c r="C98" s="20"/>
      <c r="D98" s="19">
        <v>901.48</v>
      </c>
      <c r="E98" s="83">
        <v>32.270000000000003</v>
      </c>
      <c r="F98" s="134">
        <v>30.33</v>
      </c>
      <c r="G98" s="134">
        <v>0.91</v>
      </c>
    </row>
    <row r="99" spans="2:7" x14ac:dyDescent="0.3">
      <c r="B99" s="19" t="s">
        <v>271</v>
      </c>
      <c r="C99" s="20"/>
      <c r="D99" s="83">
        <v>1855.8</v>
      </c>
      <c r="E99" s="20"/>
      <c r="F99" s="134"/>
      <c r="G99" s="134"/>
    </row>
    <row r="100" spans="2:7" x14ac:dyDescent="0.3">
      <c r="B100" s="19" t="s">
        <v>291</v>
      </c>
      <c r="C100" s="20"/>
      <c r="D100" s="83"/>
      <c r="E100" s="20"/>
      <c r="F100" s="19">
        <v>23.12</v>
      </c>
      <c r="G100" s="19">
        <v>3.52</v>
      </c>
    </row>
    <row r="101" spans="2:7" x14ac:dyDescent="0.3">
      <c r="B101" s="40" t="s">
        <v>272</v>
      </c>
      <c r="C101" s="20"/>
      <c r="D101" s="43">
        <v>2491.02</v>
      </c>
      <c r="E101" s="43">
        <v>2083.5700000000002</v>
      </c>
      <c r="F101" s="134"/>
      <c r="G101" s="134"/>
    </row>
    <row r="102" spans="2:7" x14ac:dyDescent="0.3">
      <c r="B102" s="19" t="s">
        <v>273</v>
      </c>
      <c r="C102" s="20"/>
      <c r="D102" s="83">
        <v>2491.02</v>
      </c>
      <c r="E102" s="83">
        <v>2082.92</v>
      </c>
      <c r="F102" s="134"/>
      <c r="G102" s="134"/>
    </row>
    <row r="103" spans="2:7" x14ac:dyDescent="0.3">
      <c r="B103" s="40" t="s">
        <v>274</v>
      </c>
      <c r="C103" s="20"/>
      <c r="D103" s="20"/>
      <c r="E103" s="19">
        <v>0.65</v>
      </c>
      <c r="F103" s="134">
        <v>23.12</v>
      </c>
      <c r="G103" s="134">
        <v>27.46</v>
      </c>
    </row>
    <row r="104" spans="2:7" x14ac:dyDescent="0.3">
      <c r="B104" s="40" t="s">
        <v>275</v>
      </c>
      <c r="C104" s="20"/>
      <c r="D104" s="20"/>
      <c r="E104" s="19">
        <v>0.65</v>
      </c>
      <c r="F104" s="134">
        <v>23.12</v>
      </c>
      <c r="G104" s="134">
        <v>27.46</v>
      </c>
    </row>
    <row r="105" spans="2:7" x14ac:dyDescent="0.3">
      <c r="B105" s="40" t="s">
        <v>276</v>
      </c>
      <c r="C105" s="20"/>
      <c r="D105" s="20"/>
      <c r="E105" s="20"/>
      <c r="F105" s="55"/>
      <c r="G105" s="134"/>
    </row>
    <row r="106" spans="2:7" x14ac:dyDescent="0.3">
      <c r="B106" s="37" t="s">
        <v>277</v>
      </c>
      <c r="C106" s="82">
        <v>2312.56</v>
      </c>
      <c r="D106" s="83">
        <v>2240.6999999999998</v>
      </c>
      <c r="E106" s="86">
        <v>2617.04</v>
      </c>
      <c r="F106" s="55"/>
      <c r="G106" s="134"/>
    </row>
    <row r="107" spans="2:7" x14ac:dyDescent="0.3">
      <c r="B107" s="117"/>
      <c r="C107" s="26"/>
      <c r="D107" s="26"/>
      <c r="E107" s="26"/>
      <c r="F107" s="135"/>
      <c r="G107" s="136"/>
    </row>
    <row r="108" spans="2:7" x14ac:dyDescent="0.3">
      <c r="F108" s="132"/>
      <c r="G108" s="132"/>
    </row>
    <row r="109" spans="2:7" x14ac:dyDescent="0.3">
      <c r="C109" s="9"/>
      <c r="F109" s="132"/>
      <c r="G109" s="132"/>
    </row>
    <row r="110" spans="2:7" x14ac:dyDescent="0.3">
      <c r="B110" t="s">
        <v>56</v>
      </c>
      <c r="D110" s="62"/>
      <c r="F110" s="132"/>
      <c r="G110" s="132"/>
    </row>
    <row r="111" spans="2:7" x14ac:dyDescent="0.3">
      <c r="F111" s="132"/>
      <c r="G111" s="132"/>
    </row>
    <row r="112" spans="2:7" x14ac:dyDescent="0.3">
      <c r="F112" s="132"/>
      <c r="G112" s="132"/>
    </row>
    <row r="113" spans="6:7" x14ac:dyDescent="0.3">
      <c r="F113" s="132"/>
      <c r="G113" s="132"/>
    </row>
  </sheetData>
  <mergeCells count="2">
    <mergeCell ref="B2:G2"/>
    <mergeCell ref="B3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A3A1-F989-496B-9BFD-1ECC602F2CE2}">
  <sheetPr>
    <tabColor rgb="FFFF9900"/>
  </sheetPr>
  <dimension ref="B2:U113"/>
  <sheetViews>
    <sheetView zoomScale="86" zoomScaleNormal="86" workbookViewId="0">
      <pane xSplit="2" ySplit="4" topLeftCell="C57" activePane="bottomRight" state="frozen"/>
      <selection pane="topRight" activeCell="C1" sqref="C1"/>
      <selection pane="bottomLeft" activeCell="A5" sqref="A5"/>
      <selection pane="bottomRight" activeCell="B81" sqref="B81"/>
    </sheetView>
  </sheetViews>
  <sheetFormatPr defaultRowHeight="14.4" x14ac:dyDescent="0.3"/>
  <cols>
    <col min="1" max="1" width="4.6640625" customWidth="1"/>
    <col min="2" max="2" width="62" customWidth="1"/>
    <col min="3" max="3" width="10.44140625" bestFit="1" customWidth="1"/>
    <col min="4" max="5" width="9.88671875" bestFit="1" customWidth="1"/>
    <col min="6" max="7" width="10.5546875" bestFit="1" customWidth="1"/>
    <col min="10" max="10" width="97.21875" customWidth="1"/>
    <col min="11" max="13" width="11.77734375" bestFit="1" customWidth="1"/>
    <col min="14" max="14" width="10.88671875" bestFit="1" customWidth="1"/>
    <col min="15" max="15" width="11.77734375" bestFit="1" customWidth="1"/>
  </cols>
  <sheetData>
    <row r="2" spans="2:21" ht="15.6" x14ac:dyDescent="0.3">
      <c r="B2" s="295" t="s">
        <v>154</v>
      </c>
      <c r="C2" s="296"/>
      <c r="D2" s="296"/>
      <c r="E2" s="296"/>
      <c r="F2" s="296"/>
      <c r="G2" s="297"/>
      <c r="H2" s="32"/>
    </row>
    <row r="3" spans="2:21" ht="15.6" x14ac:dyDescent="0.3">
      <c r="B3" s="298" t="s">
        <v>155</v>
      </c>
      <c r="C3" s="299"/>
      <c r="D3" s="299"/>
      <c r="E3" s="299"/>
      <c r="F3" s="299"/>
      <c r="G3" s="300"/>
      <c r="H3" s="33"/>
      <c r="J3" s="302" t="s">
        <v>307</v>
      </c>
      <c r="K3" s="303"/>
      <c r="L3" s="303"/>
      <c r="M3" s="303"/>
      <c r="N3" s="303"/>
      <c r="O3" s="304"/>
    </row>
    <row r="4" spans="2:21" ht="48.6" customHeight="1" x14ac:dyDescent="0.3">
      <c r="B4" s="2" t="s">
        <v>0</v>
      </c>
      <c r="C4" s="1" t="s">
        <v>60</v>
      </c>
      <c r="D4" s="30" t="s">
        <v>61</v>
      </c>
      <c r="E4" s="1" t="s">
        <v>57</v>
      </c>
      <c r="F4" s="18" t="s">
        <v>62</v>
      </c>
      <c r="G4" s="1" t="s">
        <v>63</v>
      </c>
      <c r="H4" s="34"/>
      <c r="J4" s="2" t="s">
        <v>308</v>
      </c>
      <c r="K4" s="24" t="s">
        <v>60</v>
      </c>
      <c r="L4" s="1" t="s">
        <v>61</v>
      </c>
      <c r="M4" s="18" t="s">
        <v>57</v>
      </c>
      <c r="N4" s="1" t="s">
        <v>62</v>
      </c>
      <c r="O4" s="30" t="s">
        <v>63</v>
      </c>
    </row>
    <row r="5" spans="2:21" x14ac:dyDescent="0.3">
      <c r="B5" s="5" t="s">
        <v>197</v>
      </c>
      <c r="C5" s="113"/>
      <c r="D5" s="49"/>
      <c r="E5" s="137"/>
      <c r="F5" s="137"/>
      <c r="G5" s="6"/>
      <c r="J5" s="27" t="s">
        <v>309</v>
      </c>
      <c r="K5" s="52">
        <f>C38</f>
        <v>12685.14</v>
      </c>
      <c r="L5" s="52">
        <f t="shared" ref="L5:O5" si="0">D38</f>
        <v>7037.65</v>
      </c>
      <c r="M5" s="52">
        <f t="shared" si="0"/>
        <v>14700.88</v>
      </c>
      <c r="N5" s="52">
        <f t="shared" si="0"/>
        <v>16666.05</v>
      </c>
      <c r="O5" s="52">
        <f t="shared" si="0"/>
        <v>1658.58</v>
      </c>
    </row>
    <row r="6" spans="2:21" x14ac:dyDescent="0.3">
      <c r="B6" s="19" t="s">
        <v>198</v>
      </c>
      <c r="C6" s="82">
        <v>14517.75</v>
      </c>
      <c r="D6" s="83">
        <v>12246.53</v>
      </c>
      <c r="E6" s="83">
        <v>9582.2099999999991</v>
      </c>
      <c r="F6" s="83">
        <v>6084.61</v>
      </c>
      <c r="G6" s="83">
        <v>5134.3999999999996</v>
      </c>
      <c r="J6" s="19" t="s">
        <v>310</v>
      </c>
      <c r="K6" s="20">
        <f>SUM(C40:C41)</f>
        <v>-11924.67</v>
      </c>
      <c r="L6" s="20">
        <f t="shared" ref="L6:O6" si="1">SUM(D40:D41)</f>
        <v>-8505.1200000000008</v>
      </c>
      <c r="M6" s="20">
        <f t="shared" si="1"/>
        <v>-3552.7</v>
      </c>
      <c r="N6" s="20">
        <f t="shared" si="1"/>
        <v>-5036.0999999999995</v>
      </c>
      <c r="O6" s="20">
        <f t="shared" si="1"/>
        <v>-4008.77</v>
      </c>
    </row>
    <row r="7" spans="2:21" x14ac:dyDescent="0.3">
      <c r="B7" s="40" t="s">
        <v>199</v>
      </c>
      <c r="C7" s="19"/>
      <c r="D7" s="20"/>
      <c r="E7" s="19"/>
      <c r="F7" s="19"/>
      <c r="G7" s="19"/>
      <c r="J7" s="19" t="s">
        <v>311</v>
      </c>
      <c r="K7" s="3" t="s">
        <v>312</v>
      </c>
      <c r="L7" s="3" t="s">
        <v>318</v>
      </c>
      <c r="M7" s="10" t="s">
        <v>312</v>
      </c>
      <c r="N7" s="3" t="s">
        <v>312</v>
      </c>
      <c r="O7" s="150" t="s">
        <v>318</v>
      </c>
    </row>
    <row r="8" spans="2:21" x14ac:dyDescent="0.3">
      <c r="B8" s="19" t="s">
        <v>200</v>
      </c>
      <c r="C8" s="6">
        <v>88.03</v>
      </c>
      <c r="D8" s="19">
        <v>69.11</v>
      </c>
      <c r="E8" s="19">
        <v>314.3</v>
      </c>
      <c r="F8" s="83">
        <v>1382.1</v>
      </c>
      <c r="G8" s="83">
        <v>2688.4</v>
      </c>
      <c r="J8" s="19" t="s">
        <v>313</v>
      </c>
      <c r="K8" s="82">
        <v>1320.27</v>
      </c>
      <c r="L8" s="83">
        <v>1295.7</v>
      </c>
      <c r="M8" s="83">
        <v>1808.88</v>
      </c>
      <c r="N8" s="83">
        <v>2338.5</v>
      </c>
      <c r="O8" s="83">
        <v>2009.85</v>
      </c>
    </row>
    <row r="9" spans="2:21" x14ac:dyDescent="0.3">
      <c r="B9" s="19" t="s">
        <v>53</v>
      </c>
      <c r="C9" s="82">
        <v>4551.59</v>
      </c>
      <c r="D9" s="83">
        <v>4161.07</v>
      </c>
      <c r="E9" s="83">
        <v>4033.4</v>
      </c>
      <c r="F9" s="83">
        <v>4040.82</v>
      </c>
      <c r="G9" s="83">
        <v>3571.38</v>
      </c>
      <c r="J9" s="40" t="s">
        <v>317</v>
      </c>
      <c r="K9" s="3" t="s">
        <v>312</v>
      </c>
      <c r="L9" s="3" t="s">
        <v>318</v>
      </c>
      <c r="M9" s="10" t="s">
        <v>312</v>
      </c>
      <c r="N9" s="3" t="s">
        <v>312</v>
      </c>
      <c r="O9" s="150" t="s">
        <v>318</v>
      </c>
      <c r="Q9" s="52">
        <f>K5</f>
        <v>12685.14</v>
      </c>
      <c r="R9" s="52">
        <f t="shared" ref="R9:U9" si="2">L5</f>
        <v>7037.65</v>
      </c>
      <c r="S9" s="52">
        <f t="shared" si="2"/>
        <v>14700.88</v>
      </c>
      <c r="T9" s="52">
        <f t="shared" si="2"/>
        <v>16666.05</v>
      </c>
      <c r="U9" s="52">
        <f t="shared" si="2"/>
        <v>1658.58</v>
      </c>
    </row>
    <row r="10" spans="2:21" x14ac:dyDescent="0.3">
      <c r="B10" s="19" t="s">
        <v>201</v>
      </c>
      <c r="C10" s="82">
        <v>1320.27</v>
      </c>
      <c r="D10" s="83">
        <v>1295.7</v>
      </c>
      <c r="E10" s="83">
        <v>1808.88</v>
      </c>
      <c r="F10" s="83">
        <v>2338.5</v>
      </c>
      <c r="G10" s="83">
        <v>2009.85</v>
      </c>
      <c r="J10" s="157" t="s">
        <v>314</v>
      </c>
      <c r="K10" s="158">
        <f>K6</f>
        <v>-11924.67</v>
      </c>
      <c r="L10" s="158">
        <f t="shared" ref="L10:O10" si="3">L6</f>
        <v>-8505.1200000000008</v>
      </c>
      <c r="M10" s="158">
        <f t="shared" si="3"/>
        <v>-3552.7</v>
      </c>
      <c r="N10" s="158">
        <f t="shared" si="3"/>
        <v>-5036.0999999999995</v>
      </c>
      <c r="O10" s="158">
        <f t="shared" si="3"/>
        <v>-4008.77</v>
      </c>
      <c r="Q10" s="9">
        <f>SUM(K10:K11)</f>
        <v>-10604.4</v>
      </c>
      <c r="R10" s="9">
        <f t="shared" ref="R10:U10" si="4">SUM(L10:L11)</f>
        <v>-7209.420000000001</v>
      </c>
      <c r="S10" s="9">
        <f t="shared" si="4"/>
        <v>-1743.8199999999997</v>
      </c>
      <c r="T10" s="9">
        <f t="shared" si="4"/>
        <v>-2697.5999999999995</v>
      </c>
      <c r="U10" s="9">
        <f t="shared" si="4"/>
        <v>-1998.92</v>
      </c>
    </row>
    <row r="11" spans="2:21" x14ac:dyDescent="0.3">
      <c r="B11" s="19" t="s">
        <v>202</v>
      </c>
      <c r="C11" s="6">
        <v>380.58</v>
      </c>
      <c r="D11" s="19">
        <v>219.62</v>
      </c>
      <c r="E11" s="19">
        <v>150.57</v>
      </c>
      <c r="F11" s="19">
        <v>150.51</v>
      </c>
      <c r="G11" s="19">
        <v>199.19</v>
      </c>
      <c r="J11" s="19" t="s">
        <v>315</v>
      </c>
      <c r="K11" s="82">
        <v>1320.27</v>
      </c>
      <c r="L11" s="83">
        <v>1295.7</v>
      </c>
      <c r="M11" s="83">
        <v>1808.88</v>
      </c>
      <c r="N11" s="83">
        <v>2338.5</v>
      </c>
      <c r="O11" s="83">
        <v>2009.85</v>
      </c>
    </row>
    <row r="12" spans="2:21" x14ac:dyDescent="0.3">
      <c r="B12" s="19" t="s">
        <v>203</v>
      </c>
      <c r="C12" s="6">
        <v>40.4</v>
      </c>
      <c r="D12" s="19">
        <v>31.28</v>
      </c>
      <c r="E12" s="83">
        <v>13.89</v>
      </c>
      <c r="F12" s="19">
        <v>61.54</v>
      </c>
      <c r="G12" s="19">
        <v>86.48</v>
      </c>
      <c r="J12" s="19"/>
      <c r="K12" s="8"/>
      <c r="L12" s="19"/>
      <c r="N12" s="19"/>
      <c r="O12" s="6"/>
    </row>
    <row r="13" spans="2:21" x14ac:dyDescent="0.3">
      <c r="B13" t="s">
        <v>284</v>
      </c>
      <c r="C13" s="6"/>
      <c r="D13" s="19"/>
      <c r="E13" s="83"/>
      <c r="F13" s="19">
        <v>18.559999999999999</v>
      </c>
      <c r="G13" s="19">
        <v>30.5</v>
      </c>
      <c r="J13" s="19" t="s">
        <v>316</v>
      </c>
      <c r="K13" s="8"/>
      <c r="L13" s="19"/>
      <c r="N13" s="19"/>
      <c r="O13" s="6"/>
    </row>
    <row r="14" spans="2:21" x14ac:dyDescent="0.3">
      <c r="B14" s="19" t="s">
        <v>204</v>
      </c>
      <c r="C14" s="6">
        <v>118.34</v>
      </c>
      <c r="D14" s="19">
        <v>66.650000000000006</v>
      </c>
      <c r="E14" s="19">
        <v>39.22</v>
      </c>
      <c r="F14" s="19">
        <v>73.64</v>
      </c>
      <c r="G14" s="19">
        <v>117.5</v>
      </c>
      <c r="J14" s="40" t="s">
        <v>317</v>
      </c>
      <c r="K14" s="21"/>
      <c r="L14" s="21"/>
      <c r="M14" s="57"/>
      <c r="N14" s="21"/>
      <c r="O14" s="151"/>
    </row>
    <row r="15" spans="2:21" x14ac:dyDescent="0.3">
      <c r="B15" s="19" t="s">
        <v>205</v>
      </c>
      <c r="C15" s="6">
        <v>9.7799999999999994</v>
      </c>
      <c r="D15" s="19">
        <v>15.97</v>
      </c>
      <c r="E15" s="50">
        <v>7.34</v>
      </c>
      <c r="F15" s="19">
        <v>11.28</v>
      </c>
      <c r="G15" s="19">
        <v>8.1199999999999992</v>
      </c>
      <c r="J15" s="19" t="s">
        <v>314</v>
      </c>
      <c r="K15" s="20">
        <v>11925</v>
      </c>
      <c r="L15" s="20">
        <v>8505</v>
      </c>
      <c r="M15" s="20">
        <v>3553</v>
      </c>
      <c r="N15" s="20">
        <v>5036</v>
      </c>
      <c r="O15" s="20">
        <v>4009</v>
      </c>
    </row>
    <row r="16" spans="2:21" x14ac:dyDescent="0.3">
      <c r="B16" t="s">
        <v>285</v>
      </c>
      <c r="C16" s="6"/>
      <c r="D16" s="19"/>
      <c r="E16" s="50"/>
      <c r="F16" s="19">
        <v>17.149999999999999</v>
      </c>
      <c r="G16" s="19">
        <v>6.29</v>
      </c>
      <c r="J16" s="19" t="s">
        <v>315</v>
      </c>
      <c r="K16" s="83">
        <f>K11</f>
        <v>1320.27</v>
      </c>
      <c r="L16" s="83">
        <f t="shared" ref="L16:O16" si="5">L11</f>
        <v>1295.7</v>
      </c>
      <c r="M16" s="83">
        <f t="shared" si="5"/>
        <v>1808.88</v>
      </c>
      <c r="N16" s="83">
        <f t="shared" si="5"/>
        <v>2338.5</v>
      </c>
      <c r="O16" s="83">
        <f t="shared" si="5"/>
        <v>2009.85</v>
      </c>
    </row>
    <row r="17" spans="2:15" x14ac:dyDescent="0.3">
      <c r="B17" s="19" t="s">
        <v>206</v>
      </c>
      <c r="C17" s="82">
        <v>7451.57</v>
      </c>
      <c r="D17" s="83">
        <v>4240.83</v>
      </c>
      <c r="E17" s="83">
        <v>4374.83</v>
      </c>
      <c r="F17" s="83">
        <v>1032.26</v>
      </c>
      <c r="G17" s="83">
        <v>1408.88</v>
      </c>
      <c r="J17" s="19" t="s">
        <v>319</v>
      </c>
      <c r="K17" s="156">
        <f>C81+C82+C83</f>
        <v>1150.56</v>
      </c>
      <c r="L17" s="156">
        <f t="shared" ref="L17:O17" si="6">D81+D82+D83</f>
        <v>1065.5</v>
      </c>
      <c r="M17" s="156">
        <f t="shared" si="6"/>
        <v>867.22</v>
      </c>
      <c r="N17" s="156">
        <f t="shared" si="6"/>
        <v>1425.4599999999998</v>
      </c>
      <c r="O17" s="156">
        <f t="shared" si="6"/>
        <v>1269.6200000000001</v>
      </c>
    </row>
    <row r="18" spans="2:15" x14ac:dyDescent="0.3">
      <c r="B18" s="19" t="s">
        <v>207</v>
      </c>
      <c r="C18" s="6">
        <v>983.46</v>
      </c>
      <c r="D18" s="19">
        <v>731.33</v>
      </c>
      <c r="E18" s="19">
        <v>772.36</v>
      </c>
      <c r="F18" s="19">
        <v>780.31</v>
      </c>
      <c r="G18" s="19">
        <v>322.62</v>
      </c>
      <c r="J18" s="19" t="s">
        <v>320</v>
      </c>
      <c r="K18" s="8"/>
      <c r="L18" s="19"/>
      <c r="N18" s="19"/>
      <c r="O18" s="6"/>
    </row>
    <row r="19" spans="2:15" x14ac:dyDescent="0.3">
      <c r="B19" s="19" t="s">
        <v>208</v>
      </c>
      <c r="C19" s="6">
        <v>143.82</v>
      </c>
      <c r="D19" s="19">
        <v>145.51</v>
      </c>
      <c r="E19" s="19">
        <v>92.62</v>
      </c>
      <c r="F19" s="19">
        <v>150.13999999999999</v>
      </c>
      <c r="G19" s="19">
        <v>90.32</v>
      </c>
      <c r="J19" s="19" t="s">
        <v>344</v>
      </c>
      <c r="K19" s="20">
        <f>K6</f>
        <v>-11924.67</v>
      </c>
      <c r="L19" s="20">
        <f t="shared" ref="L19:O19" si="7">L6</f>
        <v>-8505.1200000000008</v>
      </c>
      <c r="M19" s="20">
        <f t="shared" si="7"/>
        <v>-3552.7</v>
      </c>
      <c r="N19" s="20">
        <f t="shared" si="7"/>
        <v>-5036.0999999999995</v>
      </c>
      <c r="O19" s="20">
        <f t="shared" si="7"/>
        <v>-4008.77</v>
      </c>
    </row>
    <row r="20" spans="2:15" x14ac:dyDescent="0.3">
      <c r="B20" s="19" t="s">
        <v>209</v>
      </c>
      <c r="C20" s="6">
        <v>10.64</v>
      </c>
      <c r="D20" s="19">
        <v>7.71</v>
      </c>
      <c r="E20" s="19">
        <v>8.1999999999999993</v>
      </c>
      <c r="F20" s="19">
        <v>38.950000000000003</v>
      </c>
      <c r="G20" s="19">
        <v>13.87</v>
      </c>
      <c r="J20" s="19" t="s">
        <v>321</v>
      </c>
      <c r="K20" s="83">
        <f>C9</f>
        <v>4551.59</v>
      </c>
      <c r="L20" s="83">
        <f t="shared" ref="L20:O20" si="8">D9</f>
        <v>4161.07</v>
      </c>
      <c r="M20" s="83">
        <f t="shared" si="8"/>
        <v>4033.4</v>
      </c>
      <c r="N20" s="83">
        <f t="shared" si="8"/>
        <v>4040.82</v>
      </c>
      <c r="O20" s="83">
        <f t="shared" si="8"/>
        <v>3571.38</v>
      </c>
    </row>
    <row r="21" spans="2:15" x14ac:dyDescent="0.3">
      <c r="B21" s="8" t="s">
        <v>210</v>
      </c>
      <c r="C21" s="6">
        <v>78.569999999999993</v>
      </c>
      <c r="D21" s="19">
        <v>220.44</v>
      </c>
      <c r="E21" s="83">
        <v>205.91</v>
      </c>
      <c r="F21" s="19">
        <v>121.7</v>
      </c>
      <c r="G21" s="19">
        <v>159.49</v>
      </c>
      <c r="J21" s="19"/>
      <c r="K21" s="8"/>
      <c r="L21" s="19"/>
      <c r="N21" s="19"/>
      <c r="O21" s="6"/>
    </row>
    <row r="22" spans="2:15" x14ac:dyDescent="0.3">
      <c r="B22" s="19" t="s">
        <v>211</v>
      </c>
      <c r="C22" s="6">
        <v>339.86</v>
      </c>
      <c r="D22" s="19">
        <v>640.05999999999995</v>
      </c>
      <c r="E22" s="83">
        <v>1117.3900000000001</v>
      </c>
      <c r="F22" s="19">
        <v>527.26</v>
      </c>
      <c r="G22" s="19">
        <v>434.51</v>
      </c>
      <c r="J22" s="19" t="s">
        <v>322</v>
      </c>
      <c r="K22" s="8"/>
      <c r="L22" s="19"/>
      <c r="N22" s="19"/>
      <c r="O22" s="6"/>
    </row>
    <row r="23" spans="2:15" x14ac:dyDescent="0.3">
      <c r="B23" s="19" t="s">
        <v>212</v>
      </c>
      <c r="C23" s="6">
        <v>102.43</v>
      </c>
      <c r="D23" s="19">
        <v>55.77</v>
      </c>
      <c r="E23" s="83">
        <v>12.85</v>
      </c>
      <c r="F23" s="20"/>
      <c r="G23" s="20"/>
      <c r="J23" s="19"/>
      <c r="K23" s="8"/>
      <c r="L23" s="19"/>
      <c r="M23" s="9"/>
      <c r="N23" s="19"/>
      <c r="O23" s="6"/>
    </row>
    <row r="24" spans="2:15" x14ac:dyDescent="0.3">
      <c r="B24" s="19" t="s">
        <v>213</v>
      </c>
      <c r="C24" s="20"/>
      <c r="D24" s="19">
        <v>7.88</v>
      </c>
      <c r="E24" s="20"/>
      <c r="F24" s="20"/>
      <c r="G24" s="20"/>
      <c r="J24" s="19" t="s">
        <v>323</v>
      </c>
      <c r="K24" s="43">
        <f>SUM(C30:C35)</f>
        <v>41772.47</v>
      </c>
      <c r="L24" s="43">
        <f t="shared" ref="L24:O24" si="9">SUM(D30:D35)</f>
        <v>21065.629999999997</v>
      </c>
      <c r="M24" s="43">
        <f t="shared" si="9"/>
        <v>15359.289999999999</v>
      </c>
      <c r="N24" s="43">
        <f t="shared" si="9"/>
        <v>6352.93</v>
      </c>
      <c r="O24" s="43">
        <f t="shared" si="9"/>
        <v>17093.350000000002</v>
      </c>
    </row>
    <row r="25" spans="2:15" x14ac:dyDescent="0.3">
      <c r="B25" s="19" t="s">
        <v>214</v>
      </c>
      <c r="C25" s="6">
        <v>50.26</v>
      </c>
      <c r="D25" s="19">
        <v>74.44</v>
      </c>
      <c r="E25" s="19">
        <v>48.83</v>
      </c>
      <c r="F25" s="20"/>
      <c r="G25" s="20"/>
      <c r="J25" s="40" t="s">
        <v>324</v>
      </c>
      <c r="K25" s="134">
        <f>C38/'Statement of P &amp; L'!C33</f>
        <v>1.1450542506905452</v>
      </c>
      <c r="L25" s="134">
        <f>D38/'Statement of P &amp; L'!D33</f>
        <v>0.65830569989383148</v>
      </c>
      <c r="M25" s="134">
        <f>E38/'Statement of P &amp; L'!E33</f>
        <v>2.1781533920856275</v>
      </c>
      <c r="N25" s="134">
        <f>F38/'Statement of P &amp; L'!F33</f>
        <v>2.4958592163510787</v>
      </c>
      <c r="O25" s="134">
        <f>G38/'Statement of P &amp; L'!G33</f>
        <v>0.60427581483127735</v>
      </c>
    </row>
    <row r="26" spans="2:15" x14ac:dyDescent="0.3">
      <c r="B26" s="19" t="s">
        <v>215</v>
      </c>
      <c r="C26" s="83">
        <v>3.77</v>
      </c>
      <c r="D26" s="20"/>
      <c r="E26" s="83">
        <v>0.84</v>
      </c>
      <c r="F26" s="19">
        <v>10.09</v>
      </c>
      <c r="G26" s="19">
        <v>45.96</v>
      </c>
      <c r="J26" s="19" t="s">
        <v>325</v>
      </c>
      <c r="K26" s="8"/>
      <c r="L26" s="19"/>
      <c r="N26" s="19"/>
      <c r="O26" s="6"/>
    </row>
    <row r="27" spans="2:15" x14ac:dyDescent="0.3">
      <c r="B27" s="19" t="s">
        <v>216</v>
      </c>
      <c r="C27" s="83">
        <v>2754.77</v>
      </c>
      <c r="D27" s="20"/>
      <c r="E27" s="20"/>
      <c r="F27" s="20"/>
      <c r="G27" s="19"/>
      <c r="J27" s="154"/>
      <c r="K27" s="153"/>
      <c r="L27" s="154"/>
      <c r="N27" s="19"/>
      <c r="O27" s="6"/>
    </row>
    <row r="28" spans="2:15" x14ac:dyDescent="0.3">
      <c r="B28" s="19" t="s">
        <v>217</v>
      </c>
      <c r="C28" s="83">
        <v>25165.01</v>
      </c>
      <c r="D28" s="83">
        <v>21407.96</v>
      </c>
      <c r="E28" s="102">
        <v>19299.52</v>
      </c>
      <c r="F28" s="83">
        <v>14817.12</v>
      </c>
      <c r="G28" s="83">
        <v>14283.28</v>
      </c>
      <c r="H28" s="31"/>
      <c r="J28" s="19" t="s">
        <v>326</v>
      </c>
      <c r="K28" s="20">
        <f>K5-K19</f>
        <v>24609.809999999998</v>
      </c>
      <c r="L28" s="20">
        <f t="shared" ref="L28:O28" si="10">L5-L19</f>
        <v>15542.77</v>
      </c>
      <c r="M28" s="20">
        <f t="shared" si="10"/>
        <v>18253.579999999998</v>
      </c>
      <c r="N28" s="20">
        <f t="shared" si="10"/>
        <v>21702.149999999998</v>
      </c>
      <c r="O28" s="20">
        <f t="shared" si="10"/>
        <v>5667.35</v>
      </c>
    </row>
    <row r="29" spans="2:15" x14ac:dyDescent="0.3">
      <c r="B29" s="40" t="s">
        <v>52</v>
      </c>
      <c r="C29" s="28"/>
      <c r="D29" s="28"/>
      <c r="E29" s="20"/>
      <c r="F29" s="20"/>
      <c r="G29" s="20"/>
      <c r="J29" s="19" t="s">
        <v>327</v>
      </c>
      <c r="K29" s="8"/>
      <c r="L29" s="19"/>
      <c r="N29" s="19"/>
      <c r="O29" s="6"/>
    </row>
    <row r="30" spans="2:15" x14ac:dyDescent="0.3">
      <c r="B30" s="19" t="s">
        <v>343</v>
      </c>
      <c r="C30" s="6">
        <v>455.24</v>
      </c>
      <c r="D30" s="83">
        <v>1074.49</v>
      </c>
      <c r="E30" s="64">
        <v>4.2</v>
      </c>
      <c r="F30" s="83">
        <v>1027.8</v>
      </c>
      <c r="G30" s="83">
        <v>1269.51</v>
      </c>
      <c r="J30" s="19" t="s">
        <v>328</v>
      </c>
      <c r="K30" s="20">
        <f>K28</f>
        <v>24609.809999999998</v>
      </c>
      <c r="L30" s="20">
        <f t="shared" ref="L30:O30" si="11">L28</f>
        <v>15542.77</v>
      </c>
      <c r="M30" s="20">
        <f t="shared" si="11"/>
        <v>18253.579999999998</v>
      </c>
      <c r="N30" s="20">
        <f t="shared" si="11"/>
        <v>21702.149999999998</v>
      </c>
      <c r="O30" s="20">
        <f t="shared" si="11"/>
        <v>5667.35</v>
      </c>
    </row>
    <row r="31" spans="2:15" x14ac:dyDescent="0.3">
      <c r="B31" s="19" t="s">
        <v>218</v>
      </c>
      <c r="C31" s="102">
        <v>27972.19</v>
      </c>
      <c r="D31" s="102">
        <v>7100.48</v>
      </c>
      <c r="E31" s="83">
        <v>2111.39</v>
      </c>
      <c r="F31" s="83">
        <v>2719.07</v>
      </c>
      <c r="G31" s="83">
        <v>11643.53</v>
      </c>
      <c r="J31" s="19" t="s">
        <v>329</v>
      </c>
      <c r="K31" s="83">
        <f>-C81</f>
        <v>-1150.56</v>
      </c>
      <c r="L31" s="83">
        <f>-D81</f>
        <v>-1065.5</v>
      </c>
      <c r="M31" s="83">
        <f>-E81</f>
        <v>-433.61</v>
      </c>
      <c r="N31" s="83">
        <f>-F81</f>
        <v>-712.7299999999999</v>
      </c>
      <c r="O31" s="83">
        <f>-G81</f>
        <v>-634.81000000000006</v>
      </c>
    </row>
    <row r="32" spans="2:15" x14ac:dyDescent="0.3">
      <c r="B32" s="19" t="s">
        <v>219</v>
      </c>
      <c r="C32" s="82">
        <v>1251.53</v>
      </c>
      <c r="D32" s="83">
        <v>1322.62</v>
      </c>
      <c r="E32" s="83">
        <v>814.64</v>
      </c>
      <c r="F32" s="19">
        <v>431.34</v>
      </c>
      <c r="G32" s="83">
        <v>1161.06</v>
      </c>
      <c r="J32" s="40" t="s">
        <v>330</v>
      </c>
      <c r="K32" s="159">
        <f>SUM(K30:K31)</f>
        <v>23459.249999999996</v>
      </c>
      <c r="L32" s="159">
        <f t="shared" ref="L32:O32" si="12">SUM(L30:L31)</f>
        <v>14477.27</v>
      </c>
      <c r="M32" s="159">
        <f t="shared" si="12"/>
        <v>17819.969999999998</v>
      </c>
      <c r="N32" s="159">
        <f t="shared" si="12"/>
        <v>20989.42</v>
      </c>
      <c r="O32" s="159">
        <f t="shared" si="12"/>
        <v>5032.54</v>
      </c>
    </row>
    <row r="33" spans="2:15" x14ac:dyDescent="0.3">
      <c r="B33" s="19" t="s">
        <v>16</v>
      </c>
      <c r="C33" s="82">
        <v>1598.39</v>
      </c>
      <c r="D33" s="83">
        <v>3340.81</v>
      </c>
      <c r="E33" s="83">
        <v>3889.76</v>
      </c>
      <c r="F33" s="83">
        <v>234.47</v>
      </c>
      <c r="G33" s="83">
        <v>353.67</v>
      </c>
      <c r="J33" s="19"/>
      <c r="K33" s="8"/>
      <c r="L33" s="19"/>
      <c r="N33" s="19"/>
      <c r="O33" s="6"/>
    </row>
    <row r="34" spans="2:15" x14ac:dyDescent="0.3">
      <c r="B34" s="19" t="s">
        <v>220</v>
      </c>
      <c r="C34" s="82">
        <v>3008.57</v>
      </c>
      <c r="D34" s="83">
        <v>4830.4799999999996</v>
      </c>
      <c r="E34" s="83">
        <v>4269.6499999999996</v>
      </c>
      <c r="F34" s="19">
        <v>988.85</v>
      </c>
      <c r="G34" s="83">
        <v>1512.51</v>
      </c>
      <c r="J34" s="38" t="s">
        <v>331</v>
      </c>
      <c r="K34" s="20">
        <f>C32+C33+C34</f>
        <v>5858.49</v>
      </c>
      <c r="L34" s="20">
        <f t="shared" ref="L34:O34" si="13">D32+D33+D34</f>
        <v>9493.91</v>
      </c>
      <c r="M34" s="20">
        <f t="shared" si="13"/>
        <v>8974.0499999999993</v>
      </c>
      <c r="N34" s="20">
        <f t="shared" si="13"/>
        <v>1654.6599999999999</v>
      </c>
      <c r="O34" s="20">
        <f t="shared" si="13"/>
        <v>3027.24</v>
      </c>
    </row>
    <row r="35" spans="2:15" x14ac:dyDescent="0.3">
      <c r="B35" s="19" t="s">
        <v>221</v>
      </c>
      <c r="C35" s="82">
        <v>7486.55</v>
      </c>
      <c r="D35" s="83">
        <v>3396.75</v>
      </c>
      <c r="E35" s="83">
        <v>4269.6499999999996</v>
      </c>
      <c r="F35" s="19">
        <v>951.4</v>
      </c>
      <c r="G35" s="83">
        <v>1153.07</v>
      </c>
      <c r="J35" s="19"/>
      <c r="K35" s="8"/>
      <c r="L35" s="19"/>
      <c r="N35" s="19"/>
      <c r="O35" s="6"/>
    </row>
    <row r="36" spans="2:15" x14ac:dyDescent="0.3">
      <c r="B36" s="40" t="s">
        <v>54</v>
      </c>
      <c r="C36" s="82">
        <v>10590.32</v>
      </c>
      <c r="D36" s="83">
        <v>10003.290000000001</v>
      </c>
      <c r="E36" s="83">
        <v>16544.82</v>
      </c>
      <c r="F36" s="83">
        <v>18404.57</v>
      </c>
      <c r="G36" s="19">
        <v>214.95</v>
      </c>
      <c r="J36" s="19"/>
      <c r="K36" s="8"/>
      <c r="L36" s="19"/>
      <c r="N36" s="19"/>
      <c r="O36" s="6"/>
    </row>
    <row r="37" spans="2:15" x14ac:dyDescent="0.3">
      <c r="B37" s="19" t="s">
        <v>222</v>
      </c>
      <c r="C37" s="82">
        <v>2094.8200000000002</v>
      </c>
      <c r="D37" s="83">
        <v>2965.64</v>
      </c>
      <c r="E37" s="85">
        <v>1843.94</v>
      </c>
      <c r="F37" s="85">
        <v>1738.52</v>
      </c>
      <c r="G37" s="129">
        <v>1873.53</v>
      </c>
      <c r="J37" s="19"/>
      <c r="K37" s="8"/>
      <c r="L37" s="19"/>
      <c r="N37" s="19"/>
      <c r="O37" s="6"/>
    </row>
    <row r="38" spans="2:15" x14ac:dyDescent="0.3">
      <c r="B38" s="40" t="s">
        <v>223</v>
      </c>
      <c r="C38" s="82">
        <v>12685.14</v>
      </c>
      <c r="D38" s="83">
        <v>7037.65</v>
      </c>
      <c r="E38" s="83">
        <v>14700.88</v>
      </c>
      <c r="F38" s="83">
        <v>16666.05</v>
      </c>
      <c r="G38" s="83">
        <v>1658.58</v>
      </c>
      <c r="J38" s="40"/>
      <c r="K38" s="12"/>
      <c r="L38" s="40"/>
      <c r="M38" s="55"/>
      <c r="N38" s="134"/>
      <c r="O38" s="152"/>
    </row>
    <row r="39" spans="2:15" x14ac:dyDescent="0.3">
      <c r="B39" s="37" t="s">
        <v>224</v>
      </c>
      <c r="C39" s="45"/>
      <c r="D39" s="46"/>
      <c r="E39" s="46"/>
      <c r="F39" s="131"/>
      <c r="G39" s="131"/>
      <c r="J39" s="19"/>
      <c r="K39" s="8"/>
      <c r="L39" s="19"/>
      <c r="N39" s="19"/>
      <c r="O39" s="6"/>
    </row>
    <row r="40" spans="2:15" x14ac:dyDescent="0.3">
      <c r="B40" s="19" t="s">
        <v>225</v>
      </c>
      <c r="C40" s="82">
        <v>-12036.16</v>
      </c>
      <c r="D40" s="83">
        <v>-8587.68</v>
      </c>
      <c r="E40" s="83">
        <v>-3651.04</v>
      </c>
      <c r="F40" s="83">
        <v>-5130.3599999999997</v>
      </c>
      <c r="G40" s="83">
        <v>-4178.95</v>
      </c>
      <c r="J40" s="19"/>
      <c r="K40" s="8"/>
      <c r="L40" s="19"/>
      <c r="N40" s="19"/>
      <c r="O40" s="6"/>
    </row>
    <row r="41" spans="2:15" x14ac:dyDescent="0.3">
      <c r="B41" s="19" t="s">
        <v>226</v>
      </c>
      <c r="C41" s="6">
        <v>111.49</v>
      </c>
      <c r="D41" s="19">
        <v>82.56</v>
      </c>
      <c r="E41" s="83">
        <v>98.34</v>
      </c>
      <c r="F41" s="19">
        <v>94.26</v>
      </c>
      <c r="G41" s="19">
        <v>170.18</v>
      </c>
      <c r="J41" s="19" t="s">
        <v>332</v>
      </c>
      <c r="K41" s="8"/>
      <c r="L41" s="19"/>
      <c r="N41" s="19"/>
      <c r="O41" s="6"/>
    </row>
    <row r="42" spans="2:15" x14ac:dyDescent="0.3">
      <c r="B42" s="19" t="s">
        <v>227</v>
      </c>
      <c r="C42" s="6">
        <v>19.34</v>
      </c>
      <c r="D42" s="19">
        <v>41.6</v>
      </c>
      <c r="E42" s="3"/>
      <c r="F42" s="83"/>
      <c r="G42" s="19">
        <v>35.07</v>
      </c>
      <c r="J42" s="19"/>
      <c r="K42" s="8"/>
      <c r="L42" s="19"/>
      <c r="N42" s="19"/>
      <c r="O42" s="6"/>
    </row>
    <row r="43" spans="2:15" x14ac:dyDescent="0.3">
      <c r="B43" t="s">
        <v>286</v>
      </c>
      <c r="C43" s="6"/>
      <c r="D43" s="19"/>
      <c r="E43" s="3"/>
      <c r="F43" s="19">
        <v>4.33</v>
      </c>
      <c r="G43" s="19">
        <v>123.98</v>
      </c>
      <c r="J43" s="19" t="s">
        <v>333</v>
      </c>
      <c r="K43" s="8"/>
      <c r="L43" s="19"/>
      <c r="N43" s="19"/>
      <c r="O43" s="6"/>
    </row>
    <row r="44" spans="2:15" x14ac:dyDescent="0.3">
      <c r="B44" t="s">
        <v>287</v>
      </c>
      <c r="C44" s="6"/>
      <c r="D44" s="19"/>
      <c r="E44" s="3"/>
      <c r="F44" s="19">
        <v>10.199999999999999</v>
      </c>
      <c r="G44" s="19"/>
      <c r="J44" s="19" t="s">
        <v>334</v>
      </c>
      <c r="K44" s="8"/>
      <c r="L44" s="19"/>
      <c r="N44" s="19"/>
      <c r="O44" s="6"/>
    </row>
    <row r="45" spans="2:15" ht="15.6" customHeight="1" x14ac:dyDescent="0.3">
      <c r="B45" s="19" t="s">
        <v>228</v>
      </c>
      <c r="C45" s="6">
        <v>858.73</v>
      </c>
      <c r="D45" s="19">
        <v>35.159999999999997</v>
      </c>
      <c r="E45" s="19">
        <v>17.55</v>
      </c>
      <c r="F45" s="83">
        <v>0.05</v>
      </c>
      <c r="G45" s="83">
        <v>95.22</v>
      </c>
      <c r="J45" s="19"/>
      <c r="K45" s="8"/>
      <c r="L45" s="19"/>
      <c r="N45" s="19"/>
      <c r="O45" s="6"/>
    </row>
    <row r="46" spans="2:15" x14ac:dyDescent="0.3">
      <c r="B46" s="19" t="s">
        <v>229</v>
      </c>
      <c r="C46" s="82">
        <v>6858.23</v>
      </c>
      <c r="D46" s="83">
        <v>14386.13</v>
      </c>
      <c r="E46" s="83">
        <v>5617.01</v>
      </c>
      <c r="F46" s="83">
        <v>3507.26</v>
      </c>
      <c r="G46" s="83">
        <v>4458.5600000000004</v>
      </c>
      <c r="J46" s="40"/>
      <c r="K46" s="12"/>
      <c r="L46" s="40"/>
      <c r="N46" s="19"/>
      <c r="O46" s="6"/>
    </row>
    <row r="47" spans="2:15" x14ac:dyDescent="0.3">
      <c r="B47" s="8" t="s">
        <v>279</v>
      </c>
      <c r="C47" s="82"/>
      <c r="D47" s="83"/>
      <c r="E47" s="83"/>
      <c r="F47" s="19">
        <v>8.5500000000000007</v>
      </c>
      <c r="G47" s="19">
        <v>187.99</v>
      </c>
      <c r="J47" s="19"/>
      <c r="K47" s="8"/>
      <c r="L47" s="19"/>
      <c r="N47" s="19"/>
      <c r="O47" s="6"/>
    </row>
    <row r="48" spans="2:15" x14ac:dyDescent="0.3">
      <c r="B48" s="8" t="s">
        <v>280</v>
      </c>
      <c r="C48" s="82"/>
      <c r="D48" s="83"/>
      <c r="E48" s="19">
        <v>10.09</v>
      </c>
      <c r="F48" s="19">
        <v>0.51</v>
      </c>
      <c r="G48" s="20"/>
      <c r="J48" s="19"/>
      <c r="K48" s="8"/>
      <c r="L48" s="19"/>
      <c r="N48" s="19"/>
      <c r="O48" s="6"/>
    </row>
    <row r="49" spans="2:15" x14ac:dyDescent="0.3">
      <c r="B49" s="19" t="s">
        <v>230</v>
      </c>
      <c r="C49" s="82">
        <v>7605.95</v>
      </c>
      <c r="D49" s="83">
        <v>6613.64</v>
      </c>
      <c r="E49" s="83">
        <v>12808.56</v>
      </c>
      <c r="F49" s="83">
        <v>6717.18</v>
      </c>
      <c r="G49" s="121">
        <v>2007.42</v>
      </c>
      <c r="J49" s="19" t="s">
        <v>335</v>
      </c>
      <c r="K49" s="8"/>
      <c r="L49" s="19"/>
      <c r="N49" s="19"/>
      <c r="O49" s="6"/>
    </row>
    <row r="50" spans="2:15" x14ac:dyDescent="0.3">
      <c r="B50" t="s">
        <v>288</v>
      </c>
      <c r="C50" s="82"/>
      <c r="D50" s="83"/>
      <c r="E50" s="83"/>
      <c r="F50" s="19">
        <v>829.21</v>
      </c>
      <c r="G50" s="19">
        <v>404.48</v>
      </c>
      <c r="J50" s="19" t="s">
        <v>336</v>
      </c>
      <c r="K50" s="8"/>
      <c r="L50" s="19"/>
      <c r="N50" s="19"/>
      <c r="O50" s="6"/>
    </row>
    <row r="51" spans="2:15" x14ac:dyDescent="0.3">
      <c r="B51" s="19" t="s">
        <v>231</v>
      </c>
      <c r="C51" s="6">
        <v>104.76</v>
      </c>
      <c r="D51" s="83">
        <v>4176.5200000000004</v>
      </c>
      <c r="E51" s="83">
        <v>3374.28</v>
      </c>
      <c r="F51" s="19"/>
      <c r="G51" s="19"/>
      <c r="J51" s="19" t="s">
        <v>337</v>
      </c>
      <c r="K51" s="8"/>
      <c r="L51" s="19"/>
      <c r="N51" s="19"/>
      <c r="O51" s="6"/>
    </row>
    <row r="52" spans="2:15" x14ac:dyDescent="0.3">
      <c r="B52" t="s">
        <v>281</v>
      </c>
      <c r="C52" s="6"/>
      <c r="D52" s="83"/>
      <c r="E52" s="83"/>
      <c r="F52" s="19">
        <v>156.69</v>
      </c>
      <c r="G52" s="19">
        <v>7.0000000000000007E-2</v>
      </c>
      <c r="J52" s="19" t="s">
        <v>338</v>
      </c>
      <c r="K52" s="8"/>
      <c r="L52" s="19"/>
      <c r="N52" s="19"/>
      <c r="O52" s="6"/>
    </row>
    <row r="53" spans="2:15" x14ac:dyDescent="0.3">
      <c r="B53" t="s">
        <v>289</v>
      </c>
      <c r="C53" s="6"/>
      <c r="D53" s="83"/>
      <c r="E53" s="83"/>
      <c r="F53" s="19"/>
      <c r="G53" s="19">
        <v>35.67</v>
      </c>
      <c r="J53" s="19" t="s">
        <v>339</v>
      </c>
      <c r="K53" s="8"/>
      <c r="L53" s="19"/>
      <c r="N53" s="19"/>
      <c r="O53" s="6"/>
    </row>
    <row r="54" spans="2:15" x14ac:dyDescent="0.3">
      <c r="B54" s="19" t="s">
        <v>232</v>
      </c>
      <c r="C54" s="6">
        <v>3.49</v>
      </c>
      <c r="D54" s="20"/>
      <c r="E54" s="20"/>
      <c r="F54" s="20"/>
      <c r="G54" s="20"/>
      <c r="J54" s="19"/>
      <c r="K54" s="8"/>
      <c r="L54" s="19"/>
      <c r="N54" s="19"/>
      <c r="O54" s="6"/>
    </row>
    <row r="55" spans="2:15" x14ac:dyDescent="0.3">
      <c r="B55" s="19" t="s">
        <v>233</v>
      </c>
      <c r="C55" s="6">
        <v>70.19</v>
      </c>
      <c r="D55" s="19">
        <v>64.77</v>
      </c>
      <c r="E55" s="19">
        <v>121.25</v>
      </c>
      <c r="F55" s="83">
        <v>2891.14</v>
      </c>
      <c r="G55" s="121">
        <v>60.66</v>
      </c>
      <c r="J55" s="19" t="s">
        <v>326</v>
      </c>
      <c r="K55" s="8"/>
      <c r="L55" s="19"/>
      <c r="N55" s="19"/>
      <c r="O55" s="6"/>
    </row>
    <row r="56" spans="2:15" x14ac:dyDescent="0.3">
      <c r="B56" s="19" t="s">
        <v>234</v>
      </c>
      <c r="C56" s="6">
        <v>0.1</v>
      </c>
      <c r="D56" s="20"/>
      <c r="E56" s="83"/>
      <c r="F56" s="19">
        <v>12.55</v>
      </c>
      <c r="G56" s="19">
        <v>81.34</v>
      </c>
      <c r="J56" s="4" t="s">
        <v>340</v>
      </c>
      <c r="K56" s="155"/>
      <c r="L56" s="4"/>
      <c r="M56" s="16"/>
      <c r="N56" s="4"/>
      <c r="O56" s="17"/>
    </row>
    <row r="57" spans="2:15" x14ac:dyDescent="0.3">
      <c r="B57" s="19" t="s">
        <v>235</v>
      </c>
      <c r="C57" s="6">
        <v>689.17</v>
      </c>
      <c r="D57" s="83">
        <v>1264.97</v>
      </c>
      <c r="E57" s="83">
        <v>1711.87</v>
      </c>
      <c r="F57" s="19">
        <v>96.94</v>
      </c>
      <c r="G57" s="19">
        <v>257.13</v>
      </c>
    </row>
    <row r="58" spans="2:15" x14ac:dyDescent="0.3">
      <c r="B58" s="19" t="s">
        <v>236</v>
      </c>
      <c r="C58" s="40"/>
      <c r="D58" s="19">
        <v>94.57</v>
      </c>
      <c r="E58" s="19">
        <v>209.51</v>
      </c>
      <c r="F58" s="19">
        <v>76.53</v>
      </c>
      <c r="G58" s="19">
        <v>52.32</v>
      </c>
      <c r="J58" t="s">
        <v>341</v>
      </c>
    </row>
    <row r="59" spans="2:15" x14ac:dyDescent="0.3">
      <c r="B59" s="19" t="s">
        <v>237</v>
      </c>
      <c r="C59" s="6">
        <v>106.61</v>
      </c>
      <c r="D59" s="19">
        <v>16.75</v>
      </c>
      <c r="E59" s="19"/>
      <c r="F59" s="20"/>
      <c r="G59" s="20"/>
    </row>
    <row r="60" spans="2:15" x14ac:dyDescent="0.3">
      <c r="B60" s="19" t="s">
        <v>238</v>
      </c>
      <c r="C60" s="20"/>
      <c r="D60" s="19">
        <v>12.55</v>
      </c>
      <c r="E60" s="20"/>
      <c r="F60" s="20"/>
      <c r="G60" s="20"/>
      <c r="J60" t="s">
        <v>342</v>
      </c>
    </row>
    <row r="61" spans="2:15" x14ac:dyDescent="0.3">
      <c r="B61" s="19" t="s">
        <v>239</v>
      </c>
      <c r="C61" s="20"/>
      <c r="D61" s="20">
        <v>5</v>
      </c>
      <c r="E61" s="19">
        <v>4.2</v>
      </c>
      <c r="F61" s="20"/>
      <c r="G61" s="19">
        <v>35</v>
      </c>
    </row>
    <row r="62" spans="2:15" x14ac:dyDescent="0.3">
      <c r="B62" s="19" t="s">
        <v>240</v>
      </c>
      <c r="C62" s="6">
        <v>112.69</v>
      </c>
      <c r="D62" s="19">
        <v>7.2</v>
      </c>
      <c r="E62" s="19">
        <v>6.4</v>
      </c>
      <c r="F62" s="19">
        <v>2.2000000000000002</v>
      </c>
      <c r="G62" s="19">
        <v>35</v>
      </c>
    </row>
    <row r="63" spans="2:15" x14ac:dyDescent="0.3">
      <c r="B63" t="s">
        <v>290</v>
      </c>
      <c r="C63" s="6"/>
      <c r="D63" s="19"/>
      <c r="E63" s="19"/>
      <c r="F63" s="19"/>
      <c r="G63" s="19">
        <v>31.88</v>
      </c>
    </row>
    <row r="64" spans="2:15" x14ac:dyDescent="0.3">
      <c r="B64" s="19" t="s">
        <v>55</v>
      </c>
      <c r="C64" s="6">
        <v>312.01</v>
      </c>
      <c r="D64" s="19">
        <v>191.18</v>
      </c>
      <c r="E64" s="19">
        <v>115.66</v>
      </c>
      <c r="F64" s="19">
        <v>125.81</v>
      </c>
      <c r="G64" s="19">
        <v>178.8</v>
      </c>
    </row>
    <row r="65" spans="2:7" x14ac:dyDescent="0.3">
      <c r="B65" s="19" t="s">
        <v>241</v>
      </c>
      <c r="C65" s="6">
        <v>196.67</v>
      </c>
      <c r="D65" s="19">
        <v>147.91999999999999</v>
      </c>
      <c r="E65" s="19">
        <v>85.29</v>
      </c>
      <c r="F65" s="19">
        <v>229.84</v>
      </c>
      <c r="G65" s="19">
        <v>239.48</v>
      </c>
    </row>
    <row r="66" spans="2:7" x14ac:dyDescent="0.3">
      <c r="B66" s="40" t="s">
        <v>242</v>
      </c>
      <c r="C66" s="82">
        <v>13686.71</v>
      </c>
      <c r="D66" s="83">
        <v>3543.18</v>
      </c>
      <c r="E66" s="20">
        <v>9216.91</v>
      </c>
      <c r="F66" s="83">
        <v>11635.37</v>
      </c>
      <c r="G66" s="20">
        <v>2271</v>
      </c>
    </row>
    <row r="67" spans="2:7" x14ac:dyDescent="0.3">
      <c r="B67" s="37" t="s">
        <v>243</v>
      </c>
      <c r="C67" s="20"/>
      <c r="D67" s="20"/>
      <c r="E67" s="20"/>
      <c r="F67" s="20"/>
      <c r="G67" s="20"/>
    </row>
    <row r="68" spans="2:7" x14ac:dyDescent="0.3">
      <c r="B68" s="19" t="s">
        <v>244</v>
      </c>
      <c r="C68" s="6">
        <v>16.62</v>
      </c>
      <c r="D68" s="19">
        <v>8.9499999999999993</v>
      </c>
      <c r="E68" s="19">
        <v>12.6</v>
      </c>
      <c r="F68" s="134">
        <v>9.02</v>
      </c>
      <c r="G68" s="134">
        <v>8.58</v>
      </c>
    </row>
    <row r="69" spans="2:7" x14ac:dyDescent="0.3">
      <c r="B69" s="19" t="s">
        <v>245</v>
      </c>
      <c r="C69" s="6">
        <v>222.57</v>
      </c>
      <c r="D69" s="19">
        <v>153.13999999999999</v>
      </c>
      <c r="E69" s="20"/>
      <c r="F69" s="133"/>
      <c r="G69" s="133"/>
    </row>
    <row r="70" spans="2:7" x14ac:dyDescent="0.3">
      <c r="B70" s="19" t="s">
        <v>246</v>
      </c>
      <c r="C70" s="6">
        <v>18.23</v>
      </c>
      <c r="D70" s="19">
        <v>19.149999999999999</v>
      </c>
      <c r="E70" s="20"/>
      <c r="F70" s="133"/>
      <c r="G70" s="133"/>
    </row>
    <row r="71" spans="2:7" x14ac:dyDescent="0.3">
      <c r="B71" s="19" t="s">
        <v>247</v>
      </c>
      <c r="C71" s="6">
        <v>327.96</v>
      </c>
      <c r="D71" s="19">
        <v>327.96</v>
      </c>
      <c r="E71" s="19">
        <v>166.82</v>
      </c>
      <c r="F71" s="83">
        <v>1511.96</v>
      </c>
      <c r="G71" s="19">
        <v>171.61</v>
      </c>
    </row>
    <row r="72" spans="2:7" x14ac:dyDescent="0.3">
      <c r="B72" s="19" t="s">
        <v>248</v>
      </c>
      <c r="C72" s="6">
        <v>3.95</v>
      </c>
      <c r="D72" s="20"/>
      <c r="E72" s="19">
        <v>0.34</v>
      </c>
      <c r="F72" s="19">
        <v>4.95</v>
      </c>
      <c r="G72" s="19">
        <v>1.92</v>
      </c>
    </row>
    <row r="73" spans="2:7" x14ac:dyDescent="0.3">
      <c r="B73" s="19" t="s">
        <v>249</v>
      </c>
      <c r="C73" s="82">
        <v>39810.269999999997</v>
      </c>
      <c r="D73" s="83">
        <v>15178.98</v>
      </c>
      <c r="E73" s="83">
        <v>15895.19</v>
      </c>
      <c r="F73" s="134">
        <v>18849.740000000002</v>
      </c>
      <c r="G73" s="134">
        <v>31166.09</v>
      </c>
    </row>
    <row r="74" spans="2:7" x14ac:dyDescent="0.3">
      <c r="B74" s="19" t="s">
        <v>250</v>
      </c>
      <c r="C74" s="82">
        <v>16403.82</v>
      </c>
      <c r="D74" s="83">
        <v>21014.15</v>
      </c>
      <c r="E74" s="83">
        <v>20737.89</v>
      </c>
      <c r="F74" s="134">
        <v>14068.98</v>
      </c>
      <c r="G74" s="134">
        <v>21367.85</v>
      </c>
    </row>
    <row r="75" spans="2:7" x14ac:dyDescent="0.3">
      <c r="B75" s="19" t="s">
        <v>251</v>
      </c>
      <c r="C75" s="82">
        <v>5748.28</v>
      </c>
      <c r="D75" s="83">
        <v>1544.38</v>
      </c>
      <c r="E75" s="19">
        <v>785.05</v>
      </c>
      <c r="F75" s="83">
        <v>6315.95</v>
      </c>
      <c r="G75" s="83">
        <v>3266.96</v>
      </c>
    </row>
    <row r="76" spans="2:7" x14ac:dyDescent="0.3">
      <c r="B76" s="19" t="s">
        <v>252</v>
      </c>
      <c r="C76" s="6">
        <v>183.4</v>
      </c>
      <c r="D76" s="19">
        <v>183.4</v>
      </c>
      <c r="E76" s="20"/>
      <c r="F76" s="134"/>
      <c r="G76" s="134"/>
    </row>
    <row r="77" spans="2:7" x14ac:dyDescent="0.3">
      <c r="B77" s="19" t="s">
        <v>253</v>
      </c>
      <c r="C77" s="6">
        <v>28.6</v>
      </c>
      <c r="D77" s="19">
        <v>60.93</v>
      </c>
      <c r="E77" s="19">
        <v>71.42</v>
      </c>
      <c r="F77" s="134"/>
      <c r="G77" s="134"/>
    </row>
    <row r="78" spans="2:7" x14ac:dyDescent="0.3">
      <c r="B78" s="19" t="s">
        <v>254</v>
      </c>
      <c r="C78" s="6">
        <v>3</v>
      </c>
      <c r="D78" s="19">
        <v>50.43</v>
      </c>
      <c r="E78" s="19">
        <v>70.319999999999993</v>
      </c>
      <c r="F78" s="134"/>
      <c r="G78" s="134"/>
    </row>
    <row r="79" spans="2:7" x14ac:dyDescent="0.3">
      <c r="B79" s="19" t="s">
        <v>255</v>
      </c>
      <c r="C79" s="6">
        <v>319.73</v>
      </c>
      <c r="D79" s="19">
        <v>352.93</v>
      </c>
      <c r="E79" s="19">
        <v>300.89999999999998</v>
      </c>
      <c r="F79" s="19">
        <v>278.73</v>
      </c>
      <c r="G79" s="134"/>
    </row>
    <row r="80" spans="2:7" x14ac:dyDescent="0.3">
      <c r="B80" s="19" t="s">
        <v>256</v>
      </c>
      <c r="C80" s="82">
        <v>1193.8</v>
      </c>
      <c r="D80" s="83">
        <v>1322.55</v>
      </c>
      <c r="E80" s="83">
        <v>1831.46</v>
      </c>
      <c r="F80" s="83">
        <v>2174.6999999999998</v>
      </c>
      <c r="G80" s="134">
        <v>1916.75</v>
      </c>
    </row>
    <row r="81" spans="2:7" x14ac:dyDescent="0.3">
      <c r="B81" s="19" t="s">
        <v>257</v>
      </c>
      <c r="C81" s="82">
        <v>1150.56</v>
      </c>
      <c r="D81" s="83">
        <v>1065.5</v>
      </c>
      <c r="E81" s="19">
        <f>E82+E83</f>
        <v>433.61</v>
      </c>
      <c r="F81" s="134">
        <f>SUM(F82:F83)</f>
        <v>712.7299999999999</v>
      </c>
      <c r="G81" s="134">
        <f>SUM(G82:G83)</f>
        <v>634.81000000000006</v>
      </c>
    </row>
    <row r="82" spans="2:7" x14ac:dyDescent="0.3">
      <c r="B82" s="19" t="s">
        <v>282</v>
      </c>
      <c r="C82" s="82"/>
      <c r="D82" s="83"/>
      <c r="E82" s="19">
        <v>11.54</v>
      </c>
      <c r="F82" s="19">
        <v>7.42</v>
      </c>
      <c r="G82" s="19">
        <v>9.2100000000000009</v>
      </c>
    </row>
    <row r="83" spans="2:7" x14ac:dyDescent="0.3">
      <c r="B83" s="19" t="s">
        <v>283</v>
      </c>
      <c r="C83" s="82"/>
      <c r="D83" s="83"/>
      <c r="E83" s="19">
        <v>422.07</v>
      </c>
      <c r="F83" s="19">
        <v>705.31</v>
      </c>
      <c r="G83" s="134">
        <v>625.6</v>
      </c>
    </row>
    <row r="84" spans="2:7" x14ac:dyDescent="0.3">
      <c r="B84" s="40" t="s">
        <v>258</v>
      </c>
      <c r="C84" s="99">
        <v>26469.13</v>
      </c>
      <c r="D84" s="43">
        <v>6733.13</v>
      </c>
      <c r="E84" s="43">
        <v>8013.54</v>
      </c>
      <c r="F84" s="134">
        <v>3185.32</v>
      </c>
      <c r="G84" s="134">
        <v>4157.99</v>
      </c>
    </row>
    <row r="85" spans="2:7" x14ac:dyDescent="0.3">
      <c r="B85" s="37" t="s">
        <v>259</v>
      </c>
      <c r="C85" s="6">
        <v>97.28</v>
      </c>
      <c r="D85" s="83">
        <v>3238.67</v>
      </c>
      <c r="E85" s="83">
        <v>2529.5700000000002</v>
      </c>
      <c r="F85" s="35">
        <v>1845.36</v>
      </c>
      <c r="G85">
        <v>228.41</v>
      </c>
    </row>
    <row r="86" spans="2:7" x14ac:dyDescent="0.3">
      <c r="B86" s="37" t="s">
        <v>260</v>
      </c>
      <c r="C86" s="20"/>
      <c r="D86" s="83">
        <v>2491.02</v>
      </c>
      <c r="E86" s="83">
        <v>2082.92</v>
      </c>
      <c r="F86" s="134"/>
      <c r="G86" s="134"/>
    </row>
    <row r="87" spans="2:7" x14ac:dyDescent="0.3">
      <c r="B87" s="37" t="s">
        <v>261</v>
      </c>
      <c r="C87" s="82">
        <v>2240.6999999999998</v>
      </c>
      <c r="D87" s="83">
        <v>2988.74</v>
      </c>
      <c r="E87" s="83">
        <v>3063.36</v>
      </c>
      <c r="F87" s="35">
        <v>1223.69</v>
      </c>
      <c r="G87">
        <v>936.65</v>
      </c>
    </row>
    <row r="88" spans="2:7" x14ac:dyDescent="0.3">
      <c r="B88" s="37" t="s">
        <v>262</v>
      </c>
      <c r="C88" s="6"/>
      <c r="D88" s="20">
        <v>0.08</v>
      </c>
      <c r="E88" s="19"/>
      <c r="F88" s="134"/>
      <c r="G88" s="134"/>
    </row>
    <row r="89" spans="2:7" x14ac:dyDescent="0.3">
      <c r="B89" s="37" t="s">
        <v>263</v>
      </c>
      <c r="C89" s="6">
        <v>24.81</v>
      </c>
      <c r="D89" s="20"/>
      <c r="E89" s="83"/>
      <c r="F89" s="134"/>
      <c r="G89" s="134"/>
    </row>
    <row r="90" spans="2:7" x14ac:dyDescent="0.3">
      <c r="B90" s="37" t="s">
        <v>264</v>
      </c>
      <c r="C90" s="83">
        <v>0.61</v>
      </c>
      <c r="D90" s="83">
        <v>0.47</v>
      </c>
      <c r="E90" s="19">
        <v>0.33</v>
      </c>
      <c r="F90">
        <v>3.75</v>
      </c>
      <c r="G90">
        <v>0.41</v>
      </c>
    </row>
    <row r="91" spans="2:7" x14ac:dyDescent="0.3">
      <c r="B91" s="40" t="s">
        <v>265</v>
      </c>
      <c r="C91" s="82">
        <v>2312.56</v>
      </c>
      <c r="D91" s="83">
        <v>2240.6999999999998</v>
      </c>
      <c r="E91" s="83">
        <v>2617.04</v>
      </c>
      <c r="F91" s="35">
        <v>3072.8</v>
      </c>
      <c r="G91" s="35">
        <v>1223.69</v>
      </c>
    </row>
    <row r="92" spans="2:7" x14ac:dyDescent="0.3">
      <c r="B92" t="s">
        <v>292</v>
      </c>
      <c r="C92" s="82"/>
      <c r="D92" s="83"/>
      <c r="E92" s="83"/>
      <c r="F92" s="35"/>
      <c r="G92">
        <v>50.91</v>
      </c>
    </row>
    <row r="93" spans="2:7" x14ac:dyDescent="0.3">
      <c r="B93" t="s">
        <v>293</v>
      </c>
      <c r="C93" s="82"/>
      <c r="D93" s="83"/>
      <c r="E93" s="83"/>
      <c r="F93" s="35"/>
      <c r="G93">
        <v>7.31</v>
      </c>
    </row>
    <row r="94" spans="2:7" x14ac:dyDescent="0.3">
      <c r="B94" s="37" t="s">
        <v>266</v>
      </c>
      <c r="C94" s="20"/>
      <c r="D94" s="20"/>
      <c r="E94" s="20"/>
      <c r="F94" s="134"/>
      <c r="G94" s="134"/>
    </row>
    <row r="95" spans="2:7" x14ac:dyDescent="0.3">
      <c r="B95" s="19" t="s">
        <v>267</v>
      </c>
      <c r="C95" s="20"/>
      <c r="D95" s="20"/>
      <c r="E95" s="19">
        <v>31.12</v>
      </c>
      <c r="F95" s="19">
        <v>27.46</v>
      </c>
      <c r="G95" s="19">
        <v>23.94</v>
      </c>
    </row>
    <row r="96" spans="2:7" x14ac:dyDescent="0.3">
      <c r="B96" s="19" t="s">
        <v>268</v>
      </c>
      <c r="C96" s="20"/>
      <c r="D96" s="19">
        <v>217.33</v>
      </c>
      <c r="E96" s="83">
        <v>1398.26</v>
      </c>
      <c r="F96" s="19">
        <v>34.79</v>
      </c>
      <c r="G96" s="19">
        <v>57.55</v>
      </c>
    </row>
    <row r="97" spans="2:7" x14ac:dyDescent="0.3">
      <c r="B97" s="19" t="s">
        <v>269</v>
      </c>
      <c r="C97" s="20"/>
      <c r="D97" s="19">
        <v>48.93</v>
      </c>
      <c r="E97" s="19">
        <v>686.46</v>
      </c>
      <c r="F97" s="19">
        <v>8.8000000000000007</v>
      </c>
      <c r="G97" s="134">
        <v>54.94</v>
      </c>
    </row>
    <row r="98" spans="2:7" x14ac:dyDescent="0.3">
      <c r="B98" s="19" t="s">
        <v>270</v>
      </c>
      <c r="C98" s="20"/>
      <c r="D98" s="19">
        <v>901.48</v>
      </c>
      <c r="E98" s="83">
        <v>32.270000000000003</v>
      </c>
      <c r="F98" s="134">
        <v>30.33</v>
      </c>
      <c r="G98" s="134">
        <v>0.91</v>
      </c>
    </row>
    <row r="99" spans="2:7" x14ac:dyDescent="0.3">
      <c r="B99" s="19" t="s">
        <v>271</v>
      </c>
      <c r="C99" s="20"/>
      <c r="D99" s="83">
        <v>1855.8</v>
      </c>
      <c r="E99" s="20"/>
      <c r="F99" s="134"/>
      <c r="G99" s="134"/>
    </row>
    <row r="100" spans="2:7" x14ac:dyDescent="0.3">
      <c r="B100" s="19" t="s">
        <v>291</v>
      </c>
      <c r="C100" s="20"/>
      <c r="D100" s="83"/>
      <c r="E100" s="20"/>
      <c r="F100" s="19">
        <v>23.12</v>
      </c>
      <c r="G100" s="19">
        <v>3.52</v>
      </c>
    </row>
    <row r="101" spans="2:7" x14ac:dyDescent="0.3">
      <c r="B101" s="40" t="s">
        <v>272</v>
      </c>
      <c r="C101" s="20"/>
      <c r="D101" s="43">
        <v>2491.02</v>
      </c>
      <c r="E101" s="43">
        <v>2083.5700000000002</v>
      </c>
      <c r="F101" s="134"/>
      <c r="G101" s="134"/>
    </row>
    <row r="102" spans="2:7" x14ac:dyDescent="0.3">
      <c r="B102" s="19" t="s">
        <v>273</v>
      </c>
      <c r="C102" s="20"/>
      <c r="D102" s="83">
        <v>2491.02</v>
      </c>
      <c r="E102" s="83">
        <v>2082.92</v>
      </c>
      <c r="F102" s="134"/>
      <c r="G102" s="134"/>
    </row>
    <row r="103" spans="2:7" x14ac:dyDescent="0.3">
      <c r="B103" s="40" t="s">
        <v>274</v>
      </c>
      <c r="C103" s="20"/>
      <c r="D103" s="20"/>
      <c r="E103" s="19">
        <v>0.65</v>
      </c>
      <c r="F103" s="134">
        <v>23.12</v>
      </c>
      <c r="G103" s="134">
        <v>27.46</v>
      </c>
    </row>
    <row r="104" spans="2:7" x14ac:dyDescent="0.3">
      <c r="B104" s="40" t="s">
        <v>275</v>
      </c>
      <c r="C104" s="20"/>
      <c r="D104" s="20"/>
      <c r="E104" s="19">
        <v>0.65</v>
      </c>
      <c r="F104" s="134">
        <v>23.12</v>
      </c>
      <c r="G104" s="134">
        <v>27.46</v>
      </c>
    </row>
    <row r="105" spans="2:7" x14ac:dyDescent="0.3">
      <c r="B105" s="40" t="s">
        <v>276</v>
      </c>
      <c r="C105" s="20"/>
      <c r="D105" s="20"/>
      <c r="E105" s="20"/>
      <c r="F105" s="55"/>
      <c r="G105" s="134"/>
    </row>
    <row r="106" spans="2:7" x14ac:dyDescent="0.3">
      <c r="B106" s="37" t="s">
        <v>277</v>
      </c>
      <c r="C106" s="82">
        <v>2312.56</v>
      </c>
      <c r="D106" s="83">
        <v>2240.6999999999998</v>
      </c>
      <c r="E106" s="86">
        <v>2617.04</v>
      </c>
      <c r="F106" s="55"/>
      <c r="G106" s="134"/>
    </row>
    <row r="107" spans="2:7" x14ac:dyDescent="0.3">
      <c r="B107" s="117"/>
      <c r="C107" s="26"/>
      <c r="D107" s="26"/>
      <c r="E107" s="26"/>
      <c r="F107" s="135"/>
      <c r="G107" s="136"/>
    </row>
    <row r="108" spans="2:7" x14ac:dyDescent="0.3">
      <c r="F108" s="132"/>
      <c r="G108" s="132"/>
    </row>
    <row r="109" spans="2:7" x14ac:dyDescent="0.3">
      <c r="C109" s="9"/>
      <c r="F109" s="132"/>
      <c r="G109" s="132"/>
    </row>
    <row r="110" spans="2:7" x14ac:dyDescent="0.3">
      <c r="B110" t="s">
        <v>56</v>
      </c>
      <c r="D110" s="62"/>
      <c r="F110" s="132"/>
      <c r="G110" s="132"/>
    </row>
    <row r="111" spans="2:7" x14ac:dyDescent="0.3">
      <c r="F111" s="132"/>
      <c r="G111" s="132"/>
    </row>
    <row r="112" spans="2:7" x14ac:dyDescent="0.3">
      <c r="F112" s="132"/>
      <c r="G112" s="132"/>
    </row>
    <row r="113" spans="6:7" x14ac:dyDescent="0.3">
      <c r="F113" s="132"/>
      <c r="G113" s="132"/>
    </row>
  </sheetData>
  <mergeCells count="3">
    <mergeCell ref="B2:G2"/>
    <mergeCell ref="B3:G3"/>
    <mergeCell ref="J3:O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90A7-9B91-448A-8165-EEDFEF17832D}">
  <sheetPr>
    <tabColor rgb="FFFFFF00"/>
  </sheetPr>
  <dimension ref="B2:N128"/>
  <sheetViews>
    <sheetView zoomScale="80" zoomScaleNormal="80" workbookViewId="0">
      <pane xSplit="2" ySplit="4" topLeftCell="F35" activePane="bottomRight" state="frozen"/>
      <selection pane="topRight" activeCell="C1" sqref="C1"/>
      <selection pane="bottomLeft" activeCell="A5" sqref="A5"/>
      <selection pane="bottomRight" activeCell="W36" sqref="W36"/>
    </sheetView>
  </sheetViews>
  <sheetFormatPr defaultRowHeight="14.4" x14ac:dyDescent="0.3"/>
  <cols>
    <col min="1" max="1" width="3.88671875" customWidth="1"/>
    <col min="2" max="2" width="60.21875" customWidth="1"/>
    <col min="3" max="3" width="11" bestFit="1" customWidth="1"/>
    <col min="4" max="4" width="11.88671875" customWidth="1"/>
    <col min="5" max="5" width="11" bestFit="1" customWidth="1"/>
    <col min="6" max="6" width="11.109375" customWidth="1"/>
    <col min="7" max="7" width="11.33203125" bestFit="1" customWidth="1"/>
    <col min="8" max="8" width="4.33203125" customWidth="1"/>
    <col min="9" max="9" width="32.109375" bestFit="1" customWidth="1"/>
    <col min="10" max="10" width="18" customWidth="1"/>
    <col min="11" max="11" width="19.21875" customWidth="1"/>
    <col min="12" max="14" width="18.44140625" bestFit="1" customWidth="1"/>
  </cols>
  <sheetData>
    <row r="2" spans="2:14" ht="15.6" x14ac:dyDescent="0.3">
      <c r="B2" s="295" t="s">
        <v>129</v>
      </c>
      <c r="C2" s="296"/>
      <c r="D2" s="296"/>
      <c r="E2" s="296"/>
      <c r="F2" s="296"/>
      <c r="G2" s="297"/>
      <c r="I2" s="320" t="s">
        <v>345</v>
      </c>
      <c r="J2" s="321"/>
      <c r="K2" s="321"/>
      <c r="L2" s="321"/>
      <c r="M2" s="321"/>
      <c r="N2" s="322"/>
    </row>
    <row r="3" spans="2:14" ht="15.6" x14ac:dyDescent="0.3">
      <c r="B3" s="298" t="s">
        <v>128</v>
      </c>
      <c r="C3" s="299"/>
      <c r="D3" s="299"/>
      <c r="E3" s="299"/>
      <c r="F3" s="299"/>
      <c r="G3" s="300"/>
      <c r="I3" s="323" t="s">
        <v>346</v>
      </c>
      <c r="J3" s="324"/>
      <c r="K3" s="324"/>
      <c r="L3" s="324"/>
      <c r="M3" s="324"/>
      <c r="N3" s="325"/>
    </row>
    <row r="4" spans="2:14" ht="43.2" x14ac:dyDescent="0.3">
      <c r="B4" s="2" t="s">
        <v>0</v>
      </c>
      <c r="C4" s="1" t="s">
        <v>59</v>
      </c>
      <c r="D4" s="1" t="s">
        <v>58</v>
      </c>
      <c r="E4" s="18" t="s">
        <v>1</v>
      </c>
      <c r="F4" s="24" t="s">
        <v>2</v>
      </c>
      <c r="G4" s="1" t="s">
        <v>3</v>
      </c>
      <c r="I4" s="27"/>
      <c r="J4" s="1" t="s">
        <v>59</v>
      </c>
      <c r="K4" s="1" t="s">
        <v>58</v>
      </c>
      <c r="L4" s="24" t="s">
        <v>1</v>
      </c>
      <c r="M4" s="1" t="s">
        <v>2</v>
      </c>
      <c r="N4" s="1" t="s">
        <v>3</v>
      </c>
    </row>
    <row r="5" spans="2:14" x14ac:dyDescent="0.3">
      <c r="B5" s="5" t="s">
        <v>4</v>
      </c>
      <c r="C5" s="12"/>
      <c r="D5" s="54"/>
      <c r="F5" s="8"/>
      <c r="G5" s="27"/>
      <c r="I5" s="19"/>
      <c r="J5" s="22" t="s">
        <v>347</v>
      </c>
      <c r="K5" s="22" t="s">
        <v>347</v>
      </c>
      <c r="L5" s="22" t="s">
        <v>347</v>
      </c>
      <c r="M5" s="22" t="s">
        <v>347</v>
      </c>
      <c r="N5" s="160" t="s">
        <v>347</v>
      </c>
    </row>
    <row r="6" spans="2:14" x14ac:dyDescent="0.3">
      <c r="B6" s="7" t="s">
        <v>5</v>
      </c>
      <c r="C6" s="12"/>
      <c r="D6" s="3"/>
      <c r="F6" s="8"/>
      <c r="G6" s="19"/>
      <c r="I6" s="19"/>
      <c r="J6" s="19"/>
      <c r="K6" s="19"/>
      <c r="L6" s="8"/>
      <c r="M6" s="19"/>
      <c r="N6" s="19"/>
    </row>
    <row r="7" spans="2:14" x14ac:dyDescent="0.3">
      <c r="B7" s="8" t="s">
        <v>6</v>
      </c>
      <c r="C7" s="82">
        <v>63753.53</v>
      </c>
      <c r="D7" s="83">
        <v>58148.57</v>
      </c>
      <c r="E7" s="83">
        <v>53767.33</v>
      </c>
      <c r="F7" s="83">
        <v>55758.44</v>
      </c>
      <c r="G7" s="83">
        <v>55652.22</v>
      </c>
      <c r="I7" s="19" t="s">
        <v>64</v>
      </c>
      <c r="J7" s="161">
        <f>C7/$C$47</f>
        <v>0.18906458779692578</v>
      </c>
      <c r="K7" s="161">
        <f>D7/$D$47</f>
        <v>0.2009316130492034</v>
      </c>
      <c r="L7" s="161">
        <f>E7/$E$47</f>
        <v>0.2013333068220706</v>
      </c>
      <c r="M7" s="161">
        <f>F7/$F$47</f>
        <v>0.22812944171366992</v>
      </c>
      <c r="N7" s="161">
        <f>G7/$G$47</f>
        <v>0.23075553812968094</v>
      </c>
    </row>
    <row r="8" spans="2:14" x14ac:dyDescent="0.3">
      <c r="B8" s="8" t="s">
        <v>12</v>
      </c>
      <c r="C8" s="35">
        <v>7730.18</v>
      </c>
      <c r="D8" s="83">
        <v>6572.18</v>
      </c>
      <c r="E8" s="35">
        <v>5719.43</v>
      </c>
      <c r="F8" s="35">
        <v>3822.45</v>
      </c>
      <c r="G8" s="35">
        <v>2728.2</v>
      </c>
      <c r="I8" s="19" t="s">
        <v>65</v>
      </c>
      <c r="J8" s="161">
        <f>C8/$C$47</f>
        <v>2.2924272511593315E-2</v>
      </c>
      <c r="K8" s="161">
        <f>D8/$D$47</f>
        <v>2.271008089536361E-2</v>
      </c>
      <c r="L8" s="161">
        <f>E8/$E$47</f>
        <v>2.141656941189669E-2</v>
      </c>
      <c r="M8" s="161">
        <f>F8/$F$47</f>
        <v>1.5639128076008181E-2</v>
      </c>
      <c r="N8" s="162">
        <f>G8/$G$47</f>
        <v>1.1312167944520371E-2</v>
      </c>
    </row>
    <row r="9" spans="2:14" x14ac:dyDescent="0.3">
      <c r="B9" s="8" t="s">
        <v>130</v>
      </c>
      <c r="C9" s="6">
        <v>14.37</v>
      </c>
      <c r="D9" s="19">
        <v>14.81</v>
      </c>
      <c r="E9">
        <v>15.24</v>
      </c>
      <c r="F9">
        <v>15.67</v>
      </c>
      <c r="G9">
        <v>16.11</v>
      </c>
      <c r="I9" s="173" t="s">
        <v>66</v>
      </c>
      <c r="J9" s="187">
        <f>(C10+C11+C15+C16)/$C$47</f>
        <v>9.2454047912630469E-2</v>
      </c>
      <c r="K9" s="187">
        <f>(D10+D11+D15+D16)/$D$47</f>
        <v>0.10669050307498582</v>
      </c>
      <c r="L9" s="187">
        <f>(E10+E11+E15+E16)/$E$47</f>
        <v>0.11716439128511885</v>
      </c>
      <c r="M9" s="187">
        <f>(F10+F11+F15+F16)/$F$47</f>
        <v>0.13041341844512508</v>
      </c>
      <c r="N9" s="187">
        <f>(G10+G11+G15+G16)/$G$47</f>
        <v>0.13060545142669444</v>
      </c>
    </row>
    <row r="10" spans="2:14" x14ac:dyDescent="0.3">
      <c r="B10" s="8" t="s">
        <v>131</v>
      </c>
      <c r="C10" s="82">
        <v>20137.55</v>
      </c>
      <c r="D10" s="83">
        <v>20058.5</v>
      </c>
      <c r="E10" s="35">
        <v>20013.86</v>
      </c>
      <c r="F10" s="35">
        <v>20046.5</v>
      </c>
      <c r="G10" s="35">
        <v>21346.39</v>
      </c>
      <c r="I10" s="19"/>
      <c r="J10" s="19"/>
      <c r="K10" s="19"/>
      <c r="L10" s="8"/>
      <c r="M10" s="19"/>
      <c r="N10" s="19"/>
    </row>
    <row r="11" spans="2:14" x14ac:dyDescent="0.3">
      <c r="B11" s="8" t="s">
        <v>13</v>
      </c>
      <c r="C11" s="82">
        <v>8591.89</v>
      </c>
      <c r="D11" s="83">
        <v>8895.41</v>
      </c>
      <c r="E11" s="35">
        <v>9254.48</v>
      </c>
      <c r="F11" s="35">
        <v>9684.2900000000009</v>
      </c>
      <c r="G11" s="35">
        <v>10114.469999999999</v>
      </c>
      <c r="I11" s="326" t="s">
        <v>14</v>
      </c>
      <c r="J11" s="178">
        <f t="shared" ref="J11:J16" si="0">C20/$C$47</f>
        <v>0.11720889809977032</v>
      </c>
      <c r="K11" s="178">
        <f t="shared" ref="K11:K16" si="1">D20/$D$47</f>
        <v>0.10695643733511065</v>
      </c>
      <c r="L11" s="178">
        <f t="shared" ref="L11:L16" si="2">E20/$E$47</f>
        <v>9.3787636023279136E-2</v>
      </c>
      <c r="M11" s="178">
        <f t="shared" ref="M11:M16" si="3">F20/$F$47</f>
        <v>7.8838356603787491E-2</v>
      </c>
      <c r="N11" s="178">
        <f t="shared" ref="N11:N16" si="4">G20/$G$47</f>
        <v>6.4689288763507741E-2</v>
      </c>
    </row>
    <row r="12" spans="2:14" x14ac:dyDescent="0.3">
      <c r="B12" s="8"/>
      <c r="C12" s="82"/>
      <c r="D12" s="83"/>
      <c r="E12" s="35"/>
      <c r="F12" s="35"/>
      <c r="G12" s="35"/>
      <c r="I12" s="326"/>
      <c r="J12" s="178">
        <f t="shared" si="0"/>
        <v>2.8181370841354289E-2</v>
      </c>
      <c r="K12" s="178">
        <f t="shared" si="1"/>
        <v>4.7966198981509098E-2</v>
      </c>
      <c r="L12" s="178">
        <f t="shared" si="2"/>
        <v>3.9664368911560263E-2</v>
      </c>
      <c r="M12" s="178">
        <f t="shared" si="3"/>
        <v>2.5414355373097813E-2</v>
      </c>
      <c r="N12" s="178">
        <f t="shared" si="4"/>
        <v>3.6285928582745243E-2</v>
      </c>
    </row>
    <row r="13" spans="2:14" x14ac:dyDescent="0.3">
      <c r="B13" s="8"/>
      <c r="C13" s="82"/>
      <c r="D13" s="83"/>
      <c r="E13" s="35"/>
      <c r="F13" s="35"/>
      <c r="G13" s="35"/>
      <c r="I13" s="326"/>
      <c r="J13" s="178">
        <f t="shared" si="0"/>
        <v>7.9604239592748663E-2</v>
      </c>
      <c r="K13" s="178">
        <f t="shared" si="1"/>
        <v>9.0317197442677188E-2</v>
      </c>
      <c r="L13" s="178">
        <f t="shared" si="2"/>
        <v>8.7064784202253082E-2</v>
      </c>
      <c r="M13" s="178">
        <f t="shared" si="3"/>
        <v>7.2167224868441404E-2</v>
      </c>
      <c r="N13" s="178">
        <f t="shared" si="4"/>
        <v>8.3901481391458851E-2</v>
      </c>
    </row>
    <row r="14" spans="2:14" x14ac:dyDescent="0.3">
      <c r="B14" s="8"/>
      <c r="C14" s="82"/>
      <c r="D14" s="83"/>
      <c r="E14" s="35"/>
      <c r="F14" s="35"/>
      <c r="G14" s="35"/>
      <c r="I14" s="326"/>
      <c r="J14" s="178">
        <f t="shared" si="0"/>
        <v>2.0225083831044869E-5</v>
      </c>
      <c r="K14" s="178">
        <f t="shared" si="1"/>
        <v>0</v>
      </c>
      <c r="L14" s="178">
        <f t="shared" si="2"/>
        <v>0</v>
      </c>
      <c r="M14" s="178">
        <f t="shared" si="3"/>
        <v>0</v>
      </c>
      <c r="N14" s="178">
        <f t="shared" si="4"/>
        <v>0</v>
      </c>
    </row>
    <row r="15" spans="2:14" x14ac:dyDescent="0.3">
      <c r="B15" s="8" t="s">
        <v>132</v>
      </c>
      <c r="C15" s="6">
        <v>47.5</v>
      </c>
      <c r="D15" s="19">
        <v>42.94</v>
      </c>
      <c r="E15">
        <v>49.26</v>
      </c>
      <c r="F15">
        <v>81.680000000000007</v>
      </c>
      <c r="G15">
        <v>37.770000000000003</v>
      </c>
      <c r="I15" s="326"/>
      <c r="J15" s="179">
        <f t="shared" si="0"/>
        <v>0.21017219108504992</v>
      </c>
      <c r="K15" s="179">
        <f t="shared" si="1"/>
        <v>0.17952677316315568</v>
      </c>
      <c r="L15" s="179">
        <f t="shared" si="2"/>
        <v>0.17128878175542828</v>
      </c>
      <c r="M15" s="179">
        <f t="shared" si="3"/>
        <v>0.18842844857001881</v>
      </c>
      <c r="N15" s="179">
        <f t="shared" si="4"/>
        <v>0.19232870650654488</v>
      </c>
    </row>
    <row r="16" spans="2:14" x14ac:dyDescent="0.3">
      <c r="B16" s="8" t="s">
        <v>133</v>
      </c>
      <c r="C16" s="82">
        <v>2399.0300000000002</v>
      </c>
      <c r="D16" s="83">
        <v>1878.83</v>
      </c>
      <c r="E16" s="35">
        <v>1971.89</v>
      </c>
      <c r="F16" s="35">
        <v>2062.63</v>
      </c>
      <c r="G16" s="3"/>
      <c r="I16" s="326"/>
      <c r="J16" s="179">
        <f t="shared" si="0"/>
        <v>1.1149596433955921E-2</v>
      </c>
      <c r="K16" s="179">
        <f t="shared" si="1"/>
        <v>8.4935864265439712E-3</v>
      </c>
      <c r="L16" s="179">
        <f t="shared" si="2"/>
        <v>4.7530425324906192E-3</v>
      </c>
      <c r="M16" s="179">
        <f t="shared" si="3"/>
        <v>2.11946199877422E-3</v>
      </c>
      <c r="N16" s="179">
        <f t="shared" si="4"/>
        <v>1.3222822217973558E-3</v>
      </c>
    </row>
    <row r="17" spans="2:14" x14ac:dyDescent="0.3">
      <c r="B17" t="s">
        <v>134</v>
      </c>
      <c r="C17" s="82">
        <v>11016.84</v>
      </c>
      <c r="D17" s="83">
        <v>7050.17</v>
      </c>
      <c r="E17" s="35">
        <v>6837.66</v>
      </c>
      <c r="F17" s="35">
        <v>6533.09</v>
      </c>
      <c r="G17" s="35">
        <v>6284.29</v>
      </c>
      <c r="I17" s="19"/>
      <c r="J17" s="161"/>
      <c r="K17" s="161"/>
      <c r="L17" s="161"/>
      <c r="M17" s="21"/>
      <c r="N17" s="21"/>
    </row>
    <row r="18" spans="2:14" x14ac:dyDescent="0.3">
      <c r="B18" s="8" t="s">
        <v>14</v>
      </c>
      <c r="C18" s="8"/>
      <c r="D18" s="3"/>
      <c r="F18" s="8"/>
      <c r="G18" s="19"/>
      <c r="I18" s="19" t="s">
        <v>348</v>
      </c>
      <c r="J18" s="161"/>
      <c r="K18" s="161"/>
      <c r="L18" s="161"/>
      <c r="M18" s="161"/>
      <c r="N18" s="162"/>
    </row>
    <row r="19" spans="2:14" x14ac:dyDescent="0.3">
      <c r="B19" s="8" t="s">
        <v>140</v>
      </c>
      <c r="C19" s="174"/>
      <c r="D19" s="174"/>
      <c r="E19" s="175"/>
      <c r="F19" s="176"/>
      <c r="G19" s="177"/>
      <c r="I19" s="19" t="s">
        <v>75</v>
      </c>
      <c r="J19" s="188">
        <f>C43/C47</f>
        <v>9.6973642415713668E-6</v>
      </c>
      <c r="K19" s="188">
        <f t="shared" ref="K19:N19" si="5">D43/D47</f>
        <v>3.8010354227820861E-7</v>
      </c>
      <c r="L19" s="188">
        <f t="shared" si="5"/>
        <v>4.4934343622137216E-7</v>
      </c>
      <c r="M19" s="188">
        <f t="shared" si="5"/>
        <v>1.5547276403571292E-6</v>
      </c>
      <c r="N19" s="188">
        <f t="shared" si="5"/>
        <v>1.6050656884846552E-4</v>
      </c>
    </row>
    <row r="20" spans="2:14" x14ac:dyDescent="0.3">
      <c r="B20" s="8" t="s">
        <v>141</v>
      </c>
      <c r="C20" s="183">
        <v>39523.43</v>
      </c>
      <c r="D20" s="184">
        <v>30952.639999999999</v>
      </c>
      <c r="E20" s="183">
        <v>25046.58</v>
      </c>
      <c r="F20" s="183">
        <v>19269.34</v>
      </c>
      <c r="G20" s="183">
        <v>15601.37</v>
      </c>
      <c r="I20" s="77" t="s">
        <v>349</v>
      </c>
      <c r="J20" s="164">
        <f>C29/$C$47</f>
        <v>0.79975874025366689</v>
      </c>
      <c r="K20" s="164">
        <f>D29/$D$47</f>
        <v>0.80383999949135232</v>
      </c>
      <c r="L20" s="164">
        <f>E29/$E$47</f>
        <v>0.77616196374464996</v>
      </c>
      <c r="M20" s="164">
        <f>F29/$F$47</f>
        <v>0.7858348764687062</v>
      </c>
      <c r="N20" s="164">
        <f>G29/$G$47</f>
        <v>0.79317594567538863</v>
      </c>
    </row>
    <row r="21" spans="2:14" x14ac:dyDescent="0.3">
      <c r="B21" s="8" t="s">
        <v>142</v>
      </c>
      <c r="C21" s="184">
        <v>9502.9</v>
      </c>
      <c r="D21" s="184">
        <v>13881.17</v>
      </c>
      <c r="E21" s="183">
        <v>10592.62</v>
      </c>
      <c r="F21" s="183">
        <v>6211.67</v>
      </c>
      <c r="G21" s="183">
        <v>8751.2199999999993</v>
      </c>
      <c r="I21" s="19"/>
      <c r="J21" s="19"/>
      <c r="K21" s="19"/>
      <c r="L21" s="8"/>
      <c r="M21" s="19"/>
      <c r="N21" s="6"/>
    </row>
    <row r="22" spans="2:14" x14ac:dyDescent="0.3">
      <c r="B22" s="8" t="s">
        <v>135</v>
      </c>
      <c r="C22" s="183">
        <v>26842.95</v>
      </c>
      <c r="D22" s="184">
        <v>26137.33</v>
      </c>
      <c r="E22" s="183">
        <v>23251.200000000001</v>
      </c>
      <c r="F22" s="183">
        <v>17638.810000000001</v>
      </c>
      <c r="G22" s="183">
        <v>20234.849999999999</v>
      </c>
      <c r="I22" s="19" t="s">
        <v>16</v>
      </c>
      <c r="J22" s="161">
        <f>C31/C47</f>
        <v>3.309307100193612E-2</v>
      </c>
      <c r="K22" s="161">
        <f t="shared" ref="K22:N22" si="6">D31/D47</f>
        <v>3.2952972933206856E-2</v>
      </c>
      <c r="L22" s="161">
        <f t="shared" si="6"/>
        <v>2.3204694171053288E-2</v>
      </c>
      <c r="M22" s="161">
        <f t="shared" si="6"/>
        <v>2.7844231019434913E-2</v>
      </c>
      <c r="N22" s="161">
        <f t="shared" si="6"/>
        <v>2.9269871747746534E-2</v>
      </c>
    </row>
    <row r="23" spans="2:14" x14ac:dyDescent="0.3">
      <c r="B23" s="8" t="s">
        <v>77</v>
      </c>
      <c r="C23" s="185">
        <v>6.82</v>
      </c>
      <c r="D23" s="184"/>
      <c r="E23" s="186"/>
      <c r="F23" s="183"/>
      <c r="G23" s="186"/>
      <c r="I23" s="19"/>
      <c r="J23" s="19"/>
      <c r="K23" s="19"/>
      <c r="L23" s="8"/>
      <c r="M23" s="19"/>
      <c r="N23" s="6"/>
    </row>
    <row r="24" spans="2:14" x14ac:dyDescent="0.3">
      <c r="B24" s="8" t="s">
        <v>78</v>
      </c>
      <c r="C24" s="183">
        <v>70871.12</v>
      </c>
      <c r="D24" s="183">
        <v>51954.12</v>
      </c>
      <c r="E24" s="183">
        <v>45743.75</v>
      </c>
      <c r="F24" s="183">
        <v>46054.89</v>
      </c>
      <c r="G24" s="183">
        <v>46384.67</v>
      </c>
      <c r="I24" t="s">
        <v>77</v>
      </c>
      <c r="J24" s="161">
        <f>C37/C47</f>
        <v>1.7541553279914003E-2</v>
      </c>
      <c r="K24" s="161">
        <f t="shared" ref="K24:N24" si="7">D37/D47</f>
        <v>1.876108153003286E-2</v>
      </c>
      <c r="L24" s="161">
        <f t="shared" si="7"/>
        <v>1.6257919537643578E-2</v>
      </c>
      <c r="M24" s="161">
        <f t="shared" si="7"/>
        <v>2.3122482261785041E-2</v>
      </c>
      <c r="N24" s="161">
        <f t="shared" si="7"/>
        <v>2.7739606847224325E-2</v>
      </c>
    </row>
    <row r="25" spans="2:14" x14ac:dyDescent="0.3">
      <c r="B25" s="8" t="s">
        <v>79</v>
      </c>
      <c r="C25" s="183">
        <v>3759.7</v>
      </c>
      <c r="D25" s="183">
        <v>2458</v>
      </c>
      <c r="E25" s="183">
        <v>1269.33</v>
      </c>
      <c r="F25" s="142">
        <v>518.03</v>
      </c>
      <c r="G25" s="142">
        <v>318.89999999999998</v>
      </c>
      <c r="I25" s="316" t="s">
        <v>350</v>
      </c>
      <c r="J25" s="189">
        <f>C38/C47</f>
        <v>6.8580234405162931E-3</v>
      </c>
      <c r="K25" s="189">
        <f t="shared" ref="K25:N25" si="8">D38/D47</f>
        <v>7.7427091562071084E-3</v>
      </c>
      <c r="L25" s="189">
        <f t="shared" si="8"/>
        <v>9.7995812194064981E-3</v>
      </c>
      <c r="M25" s="189">
        <f t="shared" si="8"/>
        <v>1.2572018666551018E-2</v>
      </c>
      <c r="N25" s="189">
        <f t="shared" si="8"/>
        <v>5.0738900344659979E-3</v>
      </c>
    </row>
    <row r="26" spans="2:14" x14ac:dyDescent="0.3">
      <c r="B26" s="8" t="s">
        <v>33</v>
      </c>
      <c r="C26" s="6">
        <v>382.26</v>
      </c>
      <c r="D26" s="19">
        <v>246.04</v>
      </c>
      <c r="E26">
        <v>205.44</v>
      </c>
      <c r="F26">
        <v>137.57</v>
      </c>
      <c r="G26">
        <v>46.95</v>
      </c>
      <c r="I26" s="316"/>
      <c r="J26" s="189">
        <f>C39/C47</f>
        <v>4.1542084944581042E-3</v>
      </c>
      <c r="K26" s="189">
        <f t="shared" ref="K26:N26" si="9">D39/D47</f>
        <v>3.4964342659473215E-3</v>
      </c>
      <c r="L26" s="189">
        <f t="shared" si="9"/>
        <v>8.7943999525792894E-3</v>
      </c>
      <c r="M26" s="189">
        <f t="shared" si="9"/>
        <v>3.028854926727323E-3</v>
      </c>
      <c r="N26" s="189">
        <f t="shared" si="9"/>
        <v>2.8383664851337788E-3</v>
      </c>
    </row>
    <row r="27" spans="2:14" x14ac:dyDescent="0.3">
      <c r="B27" s="8" t="s">
        <v>136</v>
      </c>
      <c r="C27">
        <v>826.38</v>
      </c>
      <c r="D27" s="83">
        <v>989.16</v>
      </c>
      <c r="E27">
        <v>683.73</v>
      </c>
      <c r="F27">
        <v>672.89</v>
      </c>
      <c r="G27">
        <v>245.78</v>
      </c>
      <c r="I27" s="19" t="s">
        <v>351</v>
      </c>
      <c r="J27" s="161"/>
      <c r="K27" s="161"/>
      <c r="L27" s="161"/>
      <c r="M27" s="161"/>
      <c r="N27" s="162"/>
    </row>
    <row r="28" spans="2:14" x14ac:dyDescent="0.3">
      <c r="B28" s="8" t="s">
        <v>137</v>
      </c>
      <c r="C28" s="35">
        <v>4276.22</v>
      </c>
      <c r="D28" s="86">
        <v>3347.27</v>
      </c>
      <c r="E28" s="35">
        <v>2857.15</v>
      </c>
      <c r="F28" s="35">
        <v>3562.51</v>
      </c>
      <c r="G28" s="35">
        <v>3530.17</v>
      </c>
      <c r="I28" s="19" t="s">
        <v>352</v>
      </c>
      <c r="J28" s="161">
        <f>C25/C47</f>
        <v>1.1149596433955921E-2</v>
      </c>
      <c r="K28" s="161">
        <f t="shared" ref="K28:N28" si="10">D25/D47</f>
        <v>8.4935864265439712E-3</v>
      </c>
      <c r="L28" s="161">
        <f t="shared" si="10"/>
        <v>4.7530425324906192E-3</v>
      </c>
      <c r="M28" s="161">
        <f t="shared" si="10"/>
        <v>2.11946199877422E-3</v>
      </c>
      <c r="N28" s="161">
        <f t="shared" si="10"/>
        <v>1.3222822217973558E-3</v>
      </c>
    </row>
    <row r="29" spans="2:14" x14ac:dyDescent="0.3">
      <c r="B29" s="22" t="s">
        <v>34</v>
      </c>
      <c r="C29" s="93">
        <v>269682.67</v>
      </c>
      <c r="D29" s="94">
        <v>232627.14</v>
      </c>
      <c r="E29" s="94">
        <v>207278.95</v>
      </c>
      <c r="F29" s="23">
        <v>192070.46</v>
      </c>
      <c r="G29" s="26">
        <v>191293.36</v>
      </c>
      <c r="I29" s="19" t="s">
        <v>353</v>
      </c>
      <c r="J29" s="161">
        <f>C44/C47</f>
        <v>1.0537416953715073E-2</v>
      </c>
      <c r="K29" s="161">
        <f t="shared" ref="K29:N29" si="11">D44/D47</f>
        <v>9.586004007051542E-3</v>
      </c>
      <c r="L29" s="161">
        <f t="shared" si="11"/>
        <v>9.0019591748272121E-3</v>
      </c>
      <c r="M29" s="161">
        <f t="shared" si="11"/>
        <v>9.98437907860294E-3</v>
      </c>
      <c r="N29" s="161">
        <f t="shared" si="11"/>
        <v>1.0012193274787204E-2</v>
      </c>
    </row>
    <row r="30" spans="2:14" x14ac:dyDescent="0.3">
      <c r="B30" s="7" t="s">
        <v>7</v>
      </c>
      <c r="C30" s="12"/>
      <c r="D30" s="20"/>
      <c r="F30" s="19"/>
      <c r="G30" s="6"/>
      <c r="I30" s="77" t="s">
        <v>354</v>
      </c>
      <c r="J30" s="164">
        <f>C45/C47</f>
        <v>0.2001878204485858</v>
      </c>
      <c r="K30" s="164">
        <f t="shared" ref="K30:N30" si="12">D45/D47</f>
        <v>0.19612706971993937</v>
      </c>
      <c r="L30" s="164">
        <f t="shared" si="12"/>
        <v>0.21515518581081272</v>
      </c>
      <c r="M30" s="164">
        <f t="shared" si="12"/>
        <v>0</v>
      </c>
      <c r="N30" s="164">
        <f t="shared" si="12"/>
        <v>0</v>
      </c>
    </row>
    <row r="31" spans="2:14" x14ac:dyDescent="0.3">
      <c r="B31" s="8" t="s">
        <v>16</v>
      </c>
      <c r="C31" s="82">
        <v>11159.15</v>
      </c>
      <c r="D31" s="83">
        <v>9536.42</v>
      </c>
      <c r="E31" s="35">
        <v>6196.96</v>
      </c>
      <c r="F31" s="35">
        <v>6805.57</v>
      </c>
      <c r="G31" s="35">
        <v>7059.13</v>
      </c>
      <c r="I31" s="165" t="s">
        <v>18</v>
      </c>
      <c r="J31" s="166">
        <f>C47/C47</f>
        <v>1</v>
      </c>
      <c r="K31" s="166">
        <f t="shared" ref="K31:N31" si="13">D47/D47</f>
        <v>1</v>
      </c>
      <c r="L31" s="166">
        <f t="shared" si="13"/>
        <v>1</v>
      </c>
      <c r="M31" s="166">
        <f t="shared" si="13"/>
        <v>1</v>
      </c>
      <c r="N31" s="166">
        <f t="shared" si="13"/>
        <v>1</v>
      </c>
    </row>
    <row r="32" spans="2:14" x14ac:dyDescent="0.3">
      <c r="B32" s="8" t="s">
        <v>14</v>
      </c>
      <c r="C32" s="8"/>
      <c r="D32" s="20"/>
      <c r="E32" s="9"/>
      <c r="F32" s="19"/>
      <c r="G32" s="6"/>
      <c r="I32" s="19"/>
      <c r="J32" s="19"/>
      <c r="K32" s="19"/>
      <c r="L32" s="8"/>
      <c r="M32" s="19"/>
      <c r="N32" s="6"/>
    </row>
    <row r="33" spans="2:14" x14ac:dyDescent="0.3">
      <c r="B33" s="8" t="s">
        <v>138</v>
      </c>
      <c r="C33" s="6"/>
      <c r="D33" s="29"/>
      <c r="E33" s="9"/>
      <c r="F33" s="19"/>
      <c r="G33" s="6"/>
      <c r="I33" s="19"/>
      <c r="J33" s="19"/>
      <c r="K33" s="19"/>
      <c r="L33" s="8"/>
      <c r="M33" s="19"/>
      <c r="N33" s="6"/>
    </row>
    <row r="34" spans="2:14" x14ac:dyDescent="0.3">
      <c r="B34" s="8" t="s">
        <v>141</v>
      </c>
      <c r="C34" s="6">
        <v>900.69</v>
      </c>
      <c r="D34" s="83">
        <v>2339.2199999999998</v>
      </c>
      <c r="E34" s="35">
        <v>2088.62</v>
      </c>
      <c r="F34" s="19">
        <v>993.53</v>
      </c>
      <c r="G34" s="6">
        <v>931.12</v>
      </c>
      <c r="I34" s="19" t="s">
        <v>19</v>
      </c>
      <c r="J34" s="161">
        <f>C50/C82</f>
        <v>3.9053391344725787E-4</v>
      </c>
      <c r="K34" s="161">
        <f t="shared" ref="K34:N34" si="14">D50/D82</f>
        <v>4.5498394010701568E-4</v>
      </c>
      <c r="L34" s="161">
        <f t="shared" si="14"/>
        <v>4.9285485896214179E-4</v>
      </c>
      <c r="M34" s="161">
        <f t="shared" si="14"/>
        <v>5.3830398853101969E-4</v>
      </c>
      <c r="N34" s="161">
        <f t="shared" si="14"/>
        <v>5.4537403773285119E-4</v>
      </c>
    </row>
    <row r="35" spans="2:14" x14ac:dyDescent="0.3">
      <c r="B35" s="8" t="s">
        <v>142</v>
      </c>
      <c r="C35" s="82">
        <v>13905.64</v>
      </c>
      <c r="D35" s="83">
        <v>12382.87</v>
      </c>
      <c r="E35" s="35">
        <v>15482.11</v>
      </c>
      <c r="F35" s="35">
        <v>10500.75</v>
      </c>
      <c r="G35" s="35">
        <v>6012.98</v>
      </c>
      <c r="I35" s="19" t="s">
        <v>20</v>
      </c>
      <c r="J35" s="161">
        <f>C51/C82</f>
        <v>0.23312315358996868</v>
      </c>
      <c r="K35" s="161">
        <f t="shared" ref="K35:N35" si="15">D51/D82</f>
        <v>0.26111924667071623</v>
      </c>
      <c r="L35" s="161">
        <f t="shared" si="15"/>
        <v>0.24475152824511057</v>
      </c>
      <c r="M35" s="161">
        <f t="shared" si="15"/>
        <v>0.23124838901576741</v>
      </c>
      <c r="N35" s="161">
        <f t="shared" si="15"/>
        <v>0.2400259016387053</v>
      </c>
    </row>
    <row r="36" spans="2:14" x14ac:dyDescent="0.3">
      <c r="B36" s="8" t="s">
        <v>135</v>
      </c>
      <c r="C36" s="82">
        <v>3662.84</v>
      </c>
      <c r="D36" s="83">
        <v>4022.72</v>
      </c>
      <c r="E36" s="35">
        <v>4717.99</v>
      </c>
      <c r="F36" s="83">
        <v>5189.9799999999996</v>
      </c>
      <c r="G36" s="82">
        <v>4931.49</v>
      </c>
      <c r="I36" s="44" t="s">
        <v>21</v>
      </c>
      <c r="J36" s="167">
        <f>C54/C82</f>
        <v>0.36450470504547339</v>
      </c>
      <c r="K36" s="167">
        <f t="shared" ref="K36:N36" si="16">D54/D82</f>
        <v>0.40144017085585115</v>
      </c>
      <c r="L36" s="167">
        <f t="shared" si="16"/>
        <v>0.38404484806968242</v>
      </c>
      <c r="M36" s="167">
        <f t="shared" si="16"/>
        <v>0.37226623647080098</v>
      </c>
      <c r="N36" s="167">
        <f t="shared" si="16"/>
        <v>0.3670467201824012</v>
      </c>
    </row>
    <row r="37" spans="2:14" x14ac:dyDescent="0.3">
      <c r="B37" s="8" t="s">
        <v>77</v>
      </c>
      <c r="C37" s="82">
        <v>5915.1</v>
      </c>
      <c r="D37" s="82">
        <v>5429.36</v>
      </c>
      <c r="E37" s="35">
        <v>4341.78</v>
      </c>
      <c r="F37" s="35">
        <v>5651.5</v>
      </c>
      <c r="G37" s="29">
        <v>6690.07</v>
      </c>
      <c r="I37" s="19"/>
      <c r="J37" s="19"/>
      <c r="K37" s="19"/>
      <c r="L37" s="8"/>
      <c r="M37" s="19"/>
      <c r="N37" s="6"/>
    </row>
    <row r="38" spans="2:14" x14ac:dyDescent="0.3">
      <c r="B38" s="190" t="s">
        <v>139</v>
      </c>
      <c r="C38" s="180">
        <v>2312.56</v>
      </c>
      <c r="D38" s="180">
        <v>2240.6999999999998</v>
      </c>
      <c r="E38" s="181">
        <v>2617.04</v>
      </c>
      <c r="F38" s="177">
        <v>3072.8</v>
      </c>
      <c r="G38" s="181">
        <v>1223.69</v>
      </c>
      <c r="I38" s="19"/>
      <c r="J38" s="19"/>
      <c r="K38" s="19"/>
      <c r="L38" s="8"/>
      <c r="M38" s="19"/>
      <c r="N38" s="19"/>
    </row>
    <row r="39" spans="2:14" x14ac:dyDescent="0.3">
      <c r="B39" s="190" t="s">
        <v>143</v>
      </c>
      <c r="C39" s="180">
        <v>1400.82</v>
      </c>
      <c r="D39" s="191">
        <v>1011.85</v>
      </c>
      <c r="E39" s="181">
        <v>2348.6</v>
      </c>
      <c r="F39" s="182">
        <v>740.3</v>
      </c>
      <c r="G39" s="192">
        <v>684.54</v>
      </c>
      <c r="I39" s="19"/>
      <c r="J39" s="19"/>
      <c r="K39" s="19"/>
      <c r="L39" s="8"/>
      <c r="M39" s="19"/>
      <c r="N39" s="19"/>
    </row>
    <row r="40" spans="2:14" x14ac:dyDescent="0.3">
      <c r="B40" s="8" t="s">
        <v>78</v>
      </c>
      <c r="C40" s="82">
        <v>22342.080000000002</v>
      </c>
      <c r="D40" s="83">
        <v>14247.01</v>
      </c>
      <c r="E40" s="35">
        <v>14682.07</v>
      </c>
      <c r="F40" s="83">
        <v>14175</v>
      </c>
      <c r="G40" s="82">
        <v>17192.240000000002</v>
      </c>
      <c r="I40" s="317" t="s">
        <v>22</v>
      </c>
      <c r="J40" s="188">
        <f>C58/C82</f>
        <v>0.19783945690252605</v>
      </c>
      <c r="K40" s="188">
        <f t="shared" ref="K40:N40" si="17">D58/D82</f>
        <v>0.16083894795218007</v>
      </c>
      <c r="L40" s="188">
        <f t="shared" si="17"/>
        <v>0.19654375513538699</v>
      </c>
      <c r="M40" s="188">
        <f t="shared" si="17"/>
        <v>0.24035234219719023</v>
      </c>
      <c r="N40" s="193">
        <f t="shared" si="17"/>
        <v>0.23504240280033584</v>
      </c>
    </row>
    <row r="41" spans="2:14" x14ac:dyDescent="0.3">
      <c r="B41" s="8" t="s">
        <v>79</v>
      </c>
      <c r="C41" s="82">
        <v>2348.92</v>
      </c>
      <c r="D41" s="83">
        <v>2773.76</v>
      </c>
      <c r="E41" s="35">
        <v>2579.23</v>
      </c>
      <c r="F41" s="35">
        <v>1697.98</v>
      </c>
      <c r="G41" s="35">
        <v>1607.19</v>
      </c>
      <c r="I41" s="317"/>
      <c r="J41" s="187">
        <f>C59/C82</f>
        <v>4.1835971426642119E-3</v>
      </c>
      <c r="K41" s="187">
        <f t="shared" ref="K41:N41" si="18">D59/D82</f>
        <v>4.5591001055547541E-3</v>
      </c>
      <c r="L41" s="187">
        <f t="shared" si="18"/>
        <v>5.420130308847599E-3</v>
      </c>
      <c r="M41" s="187">
        <f t="shared" si="18"/>
        <v>5.5894095226249703E-3</v>
      </c>
      <c r="N41" s="187">
        <f t="shared" si="18"/>
        <v>0</v>
      </c>
    </row>
    <row r="42" spans="2:14" x14ac:dyDescent="0.3">
      <c r="B42" s="8"/>
      <c r="C42" s="82"/>
      <c r="D42" s="83"/>
      <c r="E42" s="35"/>
      <c r="F42" s="35"/>
      <c r="G42" s="35"/>
      <c r="I42" s="317"/>
      <c r="J42" s="194">
        <f>C60/C82</f>
        <v>0.19872784815813688</v>
      </c>
      <c r="K42" s="194">
        <f t="shared" ref="K42:N42" si="19">D60/D82</f>
        <v>0.19940107430391896</v>
      </c>
      <c r="L42" s="194">
        <f t="shared" si="19"/>
        <v>0.18344913849816918</v>
      </c>
      <c r="M42" s="194">
        <f t="shared" si="19"/>
        <v>0.15921965764897361</v>
      </c>
      <c r="N42" s="187">
        <f t="shared" si="19"/>
        <v>0.15619217218046744</v>
      </c>
    </row>
    <row r="43" spans="2:14" x14ac:dyDescent="0.3">
      <c r="B43" s="8" t="s">
        <v>15</v>
      </c>
      <c r="C43" s="82">
        <v>3.27</v>
      </c>
      <c r="D43" s="83">
        <v>0.11</v>
      </c>
      <c r="E43">
        <v>0.12</v>
      </c>
      <c r="F43">
        <v>0.38</v>
      </c>
      <c r="G43">
        <v>38.71</v>
      </c>
      <c r="I43" s="317"/>
      <c r="J43" s="188">
        <f>C61/C82</f>
        <v>1.1819811821905503E-3</v>
      </c>
      <c r="K43" s="188">
        <f t="shared" ref="K43:N43" si="20">D61/D82</f>
        <v>1.4815053883305378E-3</v>
      </c>
      <c r="L43" s="188">
        <f t="shared" si="20"/>
        <v>2.0385588342773102E-3</v>
      </c>
      <c r="M43" s="188">
        <f t="shared" si="20"/>
        <v>1.3712288649097154E-3</v>
      </c>
      <c r="N43" s="193">
        <f t="shared" si="20"/>
        <v>1.4460103544359044E-3</v>
      </c>
    </row>
    <row r="44" spans="2:14" x14ac:dyDescent="0.3">
      <c r="B44" s="8" t="s">
        <v>17</v>
      </c>
      <c r="C44" s="82">
        <v>3553.27</v>
      </c>
      <c r="D44" s="83">
        <v>2774.14</v>
      </c>
      <c r="E44" s="35">
        <v>2404.0300000000002</v>
      </c>
      <c r="F44" s="35">
        <v>2440.34</v>
      </c>
      <c r="G44" s="35">
        <v>2414.6799999999998</v>
      </c>
      <c r="I44" s="19" t="s">
        <v>23</v>
      </c>
      <c r="J44" s="161">
        <f>C62/C82</f>
        <v>2.2710515320604795E-3</v>
      </c>
      <c r="K44" s="161">
        <f t="shared" ref="K44:N44" si="21">D62/D82</f>
        <v>2.532664457067184E-3</v>
      </c>
      <c r="L44" s="161">
        <f t="shared" si="21"/>
        <v>1.5898519679239183E-3</v>
      </c>
      <c r="M44" s="161">
        <f t="shared" si="21"/>
        <v>1.2887464722002426E-3</v>
      </c>
      <c r="N44" s="162">
        <f t="shared" si="21"/>
        <v>1.0459256520802228E-3</v>
      </c>
    </row>
    <row r="45" spans="2:14" x14ac:dyDescent="0.3">
      <c r="B45" s="22" t="s">
        <v>35</v>
      </c>
      <c r="C45" s="91">
        <v>67504.34</v>
      </c>
      <c r="D45" s="95">
        <v>56758.16</v>
      </c>
      <c r="E45" s="91">
        <v>57458.55</v>
      </c>
      <c r="F45" s="119"/>
      <c r="G45" s="95"/>
      <c r="I45" s="19" t="s">
        <v>355</v>
      </c>
      <c r="J45" s="195">
        <f>C63/C82</f>
        <v>2.5039306204892611E-2</v>
      </c>
      <c r="K45" s="195">
        <f t="shared" ref="K45:N45" si="22">D63/D82</f>
        <v>2.9463795189430299E-2</v>
      </c>
      <c r="L45" s="195">
        <f t="shared" si="22"/>
        <v>3.1666168082678893E-2</v>
      </c>
      <c r="M45" s="195">
        <f t="shared" si="22"/>
        <v>2.8627691008519092E-2</v>
      </c>
      <c r="N45" s="195">
        <f t="shared" si="22"/>
        <v>3.6665571606350658E-2</v>
      </c>
    </row>
    <row r="46" spans="2:14" x14ac:dyDescent="0.3">
      <c r="B46" t="s">
        <v>144</v>
      </c>
      <c r="C46" s="88">
        <v>18.02</v>
      </c>
      <c r="D46" s="88">
        <v>9.5299999999999994</v>
      </c>
      <c r="E46" s="35">
        <v>2318.81</v>
      </c>
      <c r="F46" s="119">
        <v>1077.21</v>
      </c>
      <c r="G46" s="35">
        <v>1094.73</v>
      </c>
      <c r="I46" s="168" t="s">
        <v>356</v>
      </c>
      <c r="J46" s="161">
        <f>C64/C82</f>
        <v>4.8160610178323842E-5</v>
      </c>
      <c r="K46" s="161">
        <f t="shared" ref="K46:N46" si="23">D64/D82</f>
        <v>2.6372274860611707E-4</v>
      </c>
      <c r="L46" s="161">
        <f t="shared" si="23"/>
        <v>4.9498924028419319E-4</v>
      </c>
      <c r="M46" s="161">
        <f t="shared" si="23"/>
        <v>5.199745679289146E-4</v>
      </c>
      <c r="N46" s="162">
        <f t="shared" si="23"/>
        <v>3.6085989891195951E-4</v>
      </c>
    </row>
    <row r="47" spans="2:14" ht="15" thickBot="1" x14ac:dyDescent="0.35">
      <c r="B47" s="11" t="s">
        <v>18</v>
      </c>
      <c r="C47" s="96">
        <v>337205.03</v>
      </c>
      <c r="D47" s="97">
        <v>289394.83</v>
      </c>
      <c r="E47" s="118">
        <v>267056.31</v>
      </c>
      <c r="F47" s="118">
        <v>244415.8</v>
      </c>
      <c r="G47" s="100">
        <v>241173.93</v>
      </c>
      <c r="I47" s="77" t="s">
        <v>357</v>
      </c>
      <c r="J47" s="164">
        <f>C65/C82</f>
        <v>0.42929140173264907</v>
      </c>
      <c r="K47" s="164">
        <f t="shared" ref="K47:L47" si="24">D65/D82</f>
        <v>0.39854081014508791</v>
      </c>
      <c r="L47" s="164">
        <f t="shared" si="24"/>
        <v>0.42120259206756805</v>
      </c>
      <c r="M47" s="196" t="s">
        <v>363</v>
      </c>
      <c r="N47" s="197" t="s">
        <v>363</v>
      </c>
    </row>
    <row r="48" spans="2:14" ht="15" thickTop="1" x14ac:dyDescent="0.3">
      <c r="B48" s="5" t="s">
        <v>8</v>
      </c>
      <c r="C48" s="12"/>
      <c r="D48" s="20"/>
      <c r="F48" s="19"/>
      <c r="G48" s="6"/>
      <c r="I48" s="19"/>
      <c r="J48" s="19"/>
      <c r="K48" s="19"/>
      <c r="L48" s="8"/>
      <c r="M48" s="19"/>
      <c r="N48" s="19"/>
    </row>
    <row r="49" spans="2:14" x14ac:dyDescent="0.3">
      <c r="B49" s="7" t="s">
        <v>9</v>
      </c>
      <c r="C49" s="12"/>
      <c r="D49" s="20"/>
      <c r="F49" s="19"/>
      <c r="G49" s="6"/>
      <c r="I49" s="19"/>
      <c r="J49" s="19"/>
      <c r="K49" s="19"/>
      <c r="L49" s="8"/>
      <c r="M49" s="19"/>
      <c r="N49" s="19"/>
    </row>
    <row r="50" spans="2:14" x14ac:dyDescent="0.3">
      <c r="B50" s="8" t="s">
        <v>19</v>
      </c>
      <c r="C50" s="6">
        <v>131.69</v>
      </c>
      <c r="D50" s="19">
        <v>131.66999999999999</v>
      </c>
      <c r="E50">
        <v>131.62</v>
      </c>
      <c r="F50">
        <v>131.57</v>
      </c>
      <c r="G50">
        <v>131.53</v>
      </c>
      <c r="I50" s="169" t="s">
        <v>358</v>
      </c>
      <c r="J50" s="161">
        <f>C59/C82</f>
        <v>4.1835971426642119E-3</v>
      </c>
      <c r="K50" s="161">
        <f t="shared" ref="K50:N50" si="25">D59/D82</f>
        <v>4.5591001055547541E-3</v>
      </c>
      <c r="L50" s="161">
        <f t="shared" si="25"/>
        <v>5.420130308847599E-3</v>
      </c>
      <c r="M50" s="161">
        <f t="shared" si="25"/>
        <v>5.5894095226249703E-3</v>
      </c>
      <c r="N50" s="161">
        <f t="shared" si="25"/>
        <v>0</v>
      </c>
    </row>
    <row r="51" spans="2:14" x14ac:dyDescent="0.3">
      <c r="B51" s="8" t="s">
        <v>20</v>
      </c>
      <c r="C51" s="82">
        <v>78610.3</v>
      </c>
      <c r="D51" s="83">
        <v>75566.559999999998</v>
      </c>
      <c r="E51" s="35">
        <v>65362.44</v>
      </c>
      <c r="F51" s="35">
        <v>56520.76</v>
      </c>
      <c r="G51" s="35">
        <v>57887.99</v>
      </c>
      <c r="I51" s="170"/>
      <c r="J51" s="202"/>
      <c r="K51" s="202"/>
      <c r="L51" s="203"/>
      <c r="M51" s="27"/>
      <c r="N51" s="204"/>
    </row>
    <row r="52" spans="2:14" x14ac:dyDescent="0.3">
      <c r="B52" s="12" t="s">
        <v>145</v>
      </c>
      <c r="C52" s="99">
        <v>78741.990000000005</v>
      </c>
      <c r="D52" s="43">
        <v>75698.23</v>
      </c>
      <c r="E52" s="35">
        <v>65494.06</v>
      </c>
      <c r="F52" s="35">
        <v>56652.33</v>
      </c>
      <c r="G52" s="35">
        <v>58019.519999999997</v>
      </c>
      <c r="I52" s="318" t="s">
        <v>83</v>
      </c>
      <c r="J52" s="205">
        <f>C73/C82</f>
        <v>1.0424518281948521E-3</v>
      </c>
      <c r="K52" s="205">
        <f t="shared" ref="K52:N52" si="26">D73/D82</f>
        <v>8.4410630279746187E-4</v>
      </c>
      <c r="L52" s="205">
        <f t="shared" si="26"/>
        <v>5.6519915219378259E-4</v>
      </c>
      <c r="M52" s="205">
        <f t="shared" si="26"/>
        <v>3.4019895604130341E-4</v>
      </c>
      <c r="N52" s="189">
        <f t="shared" si="26"/>
        <v>1.507625637646656E-4</v>
      </c>
    </row>
    <row r="53" spans="2:14" x14ac:dyDescent="0.3">
      <c r="B53" s="8" t="s">
        <v>146</v>
      </c>
      <c r="C53" s="89">
        <v>44170.83</v>
      </c>
      <c r="D53" s="86">
        <v>40476.480000000003</v>
      </c>
      <c r="E53" s="35">
        <v>37067.54</v>
      </c>
      <c r="F53" s="35">
        <v>34335.42</v>
      </c>
      <c r="G53" s="35">
        <v>30502.58</v>
      </c>
      <c r="I53" s="319"/>
      <c r="J53" s="201">
        <f>C74/C82</f>
        <v>3.8557402302094958E-2</v>
      </c>
      <c r="K53" s="201">
        <f t="shared" ref="K53:N53" si="27">D74/D82</f>
        <v>3.852577463115011E-2</v>
      </c>
      <c r="L53" s="201">
        <f t="shared" si="27"/>
        <v>2.9849959358758459E-2</v>
      </c>
      <c r="M53" s="201">
        <f t="shared" si="27"/>
        <v>2.702542143347525E-2</v>
      </c>
      <c r="N53" s="201">
        <f t="shared" si="27"/>
        <v>2.5074600724879343E-2</v>
      </c>
    </row>
    <row r="54" spans="2:14" x14ac:dyDescent="0.3">
      <c r="B54" s="22" t="s">
        <v>21</v>
      </c>
      <c r="C54" s="93">
        <v>122912.82</v>
      </c>
      <c r="D54" s="93">
        <v>116174.71</v>
      </c>
      <c r="E54" s="115">
        <v>102561.60000000001</v>
      </c>
      <c r="F54" s="35">
        <v>90987.75</v>
      </c>
      <c r="G54" s="35">
        <v>88522.1</v>
      </c>
      <c r="I54" s="170" t="s">
        <v>359</v>
      </c>
      <c r="J54" s="161">
        <f>C75/C82</f>
        <v>2.9237434566145113E-2</v>
      </c>
      <c r="K54" s="161">
        <f t="shared" ref="K54:N54" si="28">D75/D82</f>
        <v>2.8217815777842332E-2</v>
      </c>
      <c r="L54" s="161">
        <f t="shared" si="28"/>
        <v>8.1058522826141038E-2</v>
      </c>
      <c r="M54" s="161">
        <f t="shared" si="28"/>
        <v>7.3319891758225134E-2</v>
      </c>
      <c r="N54" s="161">
        <f t="shared" si="28"/>
        <v>5.9787763959396445E-2</v>
      </c>
    </row>
    <row r="55" spans="2:14" x14ac:dyDescent="0.3">
      <c r="B55" s="7" t="s">
        <v>10</v>
      </c>
      <c r="C55" s="12"/>
      <c r="D55" s="20"/>
      <c r="F55" s="27"/>
      <c r="G55" s="6"/>
      <c r="I55" s="19" t="s">
        <v>360</v>
      </c>
      <c r="J55" s="161">
        <f>C76/C82</f>
        <v>1.9092686725343328E-2</v>
      </c>
      <c r="K55" s="161">
        <f t="shared" ref="K55:N55" si="29">D76/D82</f>
        <v>2.2270681200490004E-2</v>
      </c>
      <c r="L55" s="161">
        <f t="shared" si="29"/>
        <v>2.0922329077339531E-2</v>
      </c>
      <c r="M55" s="161">
        <f t="shared" si="29"/>
        <v>1.8661068556124445E-2</v>
      </c>
      <c r="N55" s="161">
        <f t="shared" si="29"/>
        <v>1.9816859973215185E-2</v>
      </c>
    </row>
    <row r="56" spans="2:14" ht="13.8" customHeight="1" x14ac:dyDescent="0.3">
      <c r="B56" s="12" t="s">
        <v>11</v>
      </c>
      <c r="C56" s="12"/>
      <c r="D56" s="20"/>
      <c r="F56" s="19"/>
      <c r="G56" s="6"/>
      <c r="I56" s="19" t="s">
        <v>23</v>
      </c>
      <c r="J56" s="161">
        <f>C77/C82</f>
        <v>2.1425243864244847E-3</v>
      </c>
      <c r="K56" s="161">
        <f t="shared" ref="K56:N56" si="30">D77/D82</f>
        <v>2.8187787598002354E-3</v>
      </c>
      <c r="L56" s="161">
        <f t="shared" si="30"/>
        <v>4.0446526052876266E-3</v>
      </c>
      <c r="M56" s="161">
        <f t="shared" si="30"/>
        <v>5.3671652978244449E-3</v>
      </c>
      <c r="N56" s="161">
        <f t="shared" si="30"/>
        <v>5.1039098628943855E-3</v>
      </c>
    </row>
    <row r="57" spans="2:14" x14ac:dyDescent="0.3">
      <c r="B57" s="8" t="s">
        <v>22</v>
      </c>
      <c r="C57" s="8"/>
      <c r="D57" s="20"/>
      <c r="F57" s="19"/>
      <c r="G57" s="6"/>
      <c r="I57" s="19" t="s">
        <v>361</v>
      </c>
      <c r="J57" s="161">
        <f>C78/C82</f>
        <v>6.4258234819332318E-3</v>
      </c>
      <c r="K57" s="161">
        <f t="shared" ref="K57:N57" si="31">D78/D82</f>
        <v>3.5162687598807485E-3</v>
      </c>
      <c r="L57" s="161">
        <f t="shared" si="31"/>
        <v>4.6552354445397676E-3</v>
      </c>
      <c r="M57" s="161">
        <f t="shared" si="31"/>
        <v>4.5918880857947807E-3</v>
      </c>
      <c r="N57" s="161">
        <f t="shared" si="31"/>
        <v>3.7491614454348366E-3</v>
      </c>
    </row>
    <row r="58" spans="2:14" x14ac:dyDescent="0.3">
      <c r="B58" s="8" t="s">
        <v>148</v>
      </c>
      <c r="C58" s="82">
        <v>66712.460000000006</v>
      </c>
      <c r="D58" s="83">
        <v>46545.96</v>
      </c>
      <c r="E58" s="35">
        <v>52488.25</v>
      </c>
      <c r="F58" s="35">
        <v>58745.91</v>
      </c>
      <c r="G58" s="35">
        <v>56686.1</v>
      </c>
      <c r="I58" s="77" t="s">
        <v>362</v>
      </c>
      <c r="J58" s="171">
        <f>C79/C82</f>
        <v>0.20620389322187749</v>
      </c>
      <c r="K58" s="171">
        <f t="shared" ref="K58:N58" si="32">D79/D82</f>
        <v>0.20001901899906088</v>
      </c>
      <c r="L58" s="171">
        <f t="shared" si="32"/>
        <v>0.19255841586368058</v>
      </c>
      <c r="M58" s="171">
        <f t="shared" si="32"/>
        <v>0.18876402425702429</v>
      </c>
      <c r="N58" s="171">
        <f t="shared" si="32"/>
        <v>0.20017275499055806</v>
      </c>
    </row>
    <row r="59" spans="2:14" x14ac:dyDescent="0.3">
      <c r="B59" s="8" t="s">
        <v>147</v>
      </c>
      <c r="C59" s="82">
        <v>1410.73</v>
      </c>
      <c r="D59" s="83">
        <v>1319.38</v>
      </c>
      <c r="E59" s="114">
        <v>1447.48</v>
      </c>
      <c r="F59" s="35">
        <v>1366.14</v>
      </c>
      <c r="G59" s="29"/>
      <c r="I59" s="37" t="s">
        <v>30</v>
      </c>
      <c r="J59" s="167">
        <f>C81/C82</f>
        <v>0.63549529495452661</v>
      </c>
      <c r="K59" s="167">
        <f t="shared" ref="K59:N59" si="33">D81/D82</f>
        <v>0.59855982914414885</v>
      </c>
      <c r="L59" s="167">
        <f t="shared" si="33"/>
        <v>0.61376100793124866</v>
      </c>
      <c r="M59" s="167">
        <f t="shared" si="33"/>
        <v>0.18876402425702429</v>
      </c>
      <c r="N59" s="167">
        <f t="shared" si="33"/>
        <v>0.20017275499055806</v>
      </c>
    </row>
    <row r="60" spans="2:14" x14ac:dyDescent="0.3">
      <c r="B60" s="19" t="s">
        <v>150</v>
      </c>
      <c r="C60" s="82">
        <v>67012.03</v>
      </c>
      <c r="D60" s="83">
        <v>57705.64</v>
      </c>
      <c r="E60" s="35">
        <v>48991.25</v>
      </c>
      <c r="F60" s="35">
        <v>38915.800000000003</v>
      </c>
      <c r="G60" s="35">
        <v>37669.480000000003</v>
      </c>
      <c r="I60" s="165" t="s">
        <v>29</v>
      </c>
      <c r="J60" s="166">
        <f>C82/C82</f>
        <v>1</v>
      </c>
      <c r="K60" s="166">
        <f t="shared" ref="K60:N60" si="34">D82/D82</f>
        <v>1</v>
      </c>
      <c r="L60" s="166">
        <f t="shared" si="34"/>
        <v>1</v>
      </c>
      <c r="M60" s="166">
        <f t="shared" si="34"/>
        <v>1</v>
      </c>
      <c r="N60" s="166">
        <f t="shared" si="34"/>
        <v>1</v>
      </c>
    </row>
    <row r="61" spans="2:14" x14ac:dyDescent="0.3">
      <c r="B61" s="8" t="s">
        <v>149</v>
      </c>
      <c r="C61" s="6">
        <v>398.57</v>
      </c>
      <c r="D61" s="19">
        <v>428.74</v>
      </c>
      <c r="E61">
        <v>544.41</v>
      </c>
      <c r="F61" s="19">
        <v>335.15</v>
      </c>
      <c r="G61">
        <v>348.74</v>
      </c>
      <c r="I61" s="19"/>
      <c r="J61" s="19"/>
      <c r="K61" s="172"/>
      <c r="L61" s="8"/>
      <c r="M61" s="19"/>
      <c r="N61" s="6"/>
    </row>
    <row r="62" spans="2:14" x14ac:dyDescent="0.3">
      <c r="B62" s="8" t="s">
        <v>23</v>
      </c>
      <c r="C62" s="6">
        <v>765.81</v>
      </c>
      <c r="D62" s="19">
        <v>732.94</v>
      </c>
      <c r="E62">
        <v>424.58</v>
      </c>
      <c r="F62">
        <v>314.99</v>
      </c>
      <c r="G62">
        <v>252.25</v>
      </c>
      <c r="I62" s="4"/>
      <c r="J62" s="4"/>
      <c r="K62" s="4"/>
      <c r="L62" s="155"/>
      <c r="M62" s="4"/>
      <c r="N62" s="17"/>
    </row>
    <row r="63" spans="2:14" x14ac:dyDescent="0.3">
      <c r="B63" s="8" t="s">
        <v>24</v>
      </c>
      <c r="C63" s="82">
        <v>8443.3799999999992</v>
      </c>
      <c r="D63" s="83">
        <v>8526.67</v>
      </c>
      <c r="E63" s="35">
        <v>8456.65</v>
      </c>
      <c r="F63" s="35">
        <v>6997.06</v>
      </c>
      <c r="G63" s="35">
        <v>8842.7800000000007</v>
      </c>
    </row>
    <row r="64" spans="2:14" x14ac:dyDescent="0.3">
      <c r="B64" s="8" t="s">
        <v>25</v>
      </c>
      <c r="C64" s="17">
        <v>16.239999999999998</v>
      </c>
      <c r="D64" s="4">
        <v>76.319999999999993</v>
      </c>
      <c r="E64">
        <v>132.19</v>
      </c>
      <c r="F64">
        <v>127.09</v>
      </c>
      <c r="G64">
        <v>87.03</v>
      </c>
    </row>
    <row r="65" spans="2:7" x14ac:dyDescent="0.3">
      <c r="B65" s="22" t="s">
        <v>36</v>
      </c>
      <c r="C65" s="23">
        <v>144759.22</v>
      </c>
      <c r="D65" s="23">
        <v>115335.65</v>
      </c>
      <c r="E65" s="93">
        <v>112484.81</v>
      </c>
      <c r="F65" s="23"/>
      <c r="G65" s="26"/>
    </row>
    <row r="66" spans="2:7" x14ac:dyDescent="0.3">
      <c r="B66" s="12" t="s">
        <v>26</v>
      </c>
      <c r="C66" s="12"/>
      <c r="D66" s="20"/>
      <c r="F66" s="19"/>
      <c r="G66" s="6"/>
    </row>
    <row r="67" spans="2:7" x14ac:dyDescent="0.3">
      <c r="B67" s="8" t="s">
        <v>22</v>
      </c>
      <c r="C67" s="8"/>
      <c r="D67" s="20"/>
      <c r="F67" s="19"/>
      <c r="G67" s="6"/>
    </row>
    <row r="68" spans="2:7" x14ac:dyDescent="0.3">
      <c r="B68" s="8" t="s">
        <v>148</v>
      </c>
      <c r="C68" s="83">
        <v>34635.46</v>
      </c>
      <c r="D68" s="83">
        <v>26457.29</v>
      </c>
      <c r="E68" s="35">
        <v>10037.040000000001</v>
      </c>
      <c r="F68" s="35">
        <v>11988.13</v>
      </c>
      <c r="G68" s="35">
        <v>18378.52</v>
      </c>
    </row>
    <row r="69" spans="2:7" x14ac:dyDescent="0.3">
      <c r="B69" s="8" t="s">
        <v>147</v>
      </c>
      <c r="C69" s="6">
        <v>279.91000000000003</v>
      </c>
      <c r="D69" s="19">
        <v>238.16</v>
      </c>
      <c r="E69">
        <v>221.13</v>
      </c>
      <c r="F69">
        <v>195.7</v>
      </c>
      <c r="G69" s="6"/>
    </row>
    <row r="70" spans="2:7" x14ac:dyDescent="0.3">
      <c r="B70" s="8" t="s">
        <v>151</v>
      </c>
      <c r="C70" s="19"/>
      <c r="D70" s="83">
        <v>183.4</v>
      </c>
      <c r="F70" s="19"/>
      <c r="G70" s="6"/>
    </row>
    <row r="71" spans="2:7" x14ac:dyDescent="0.3">
      <c r="B71" s="8" t="s">
        <v>150</v>
      </c>
      <c r="C71" s="82">
        <v>2077.9</v>
      </c>
      <c r="D71" s="83">
        <v>3167.74</v>
      </c>
      <c r="E71" s="35">
        <v>3485.22</v>
      </c>
      <c r="F71" s="35">
        <v>2348.7399999999998</v>
      </c>
      <c r="G71" s="35">
        <v>2480.54</v>
      </c>
    </row>
    <row r="72" spans="2:7" x14ac:dyDescent="0.3">
      <c r="B72" s="190" t="s">
        <v>152</v>
      </c>
      <c r="C72" s="198"/>
      <c r="D72" s="177"/>
      <c r="E72" s="182"/>
      <c r="F72" s="168"/>
      <c r="G72" s="198"/>
    </row>
    <row r="73" spans="2:7" x14ac:dyDescent="0.3">
      <c r="B73" s="199" t="s">
        <v>31</v>
      </c>
      <c r="C73" s="198">
        <v>351.52</v>
      </c>
      <c r="D73" s="168">
        <v>244.28</v>
      </c>
      <c r="E73" s="182">
        <v>150.94</v>
      </c>
      <c r="F73" s="182">
        <v>83.15</v>
      </c>
      <c r="G73" s="182">
        <v>36.36</v>
      </c>
    </row>
    <row r="74" spans="2:7" ht="28.8" x14ac:dyDescent="0.3">
      <c r="B74" s="200" t="s">
        <v>32</v>
      </c>
      <c r="C74" s="180">
        <v>13001.75</v>
      </c>
      <c r="D74" s="191">
        <v>11149.16</v>
      </c>
      <c r="E74" s="181">
        <v>7971.62</v>
      </c>
      <c r="F74" s="181">
        <v>6605.44</v>
      </c>
      <c r="G74" s="181">
        <v>6047.34</v>
      </c>
    </row>
    <row r="75" spans="2:7" x14ac:dyDescent="0.3">
      <c r="B75" s="8" t="s">
        <v>149</v>
      </c>
      <c r="C75" s="82">
        <v>9859.01</v>
      </c>
      <c r="D75" s="83">
        <v>8166.09</v>
      </c>
      <c r="E75" s="35">
        <v>21647.19</v>
      </c>
      <c r="F75" s="35">
        <v>17920.54</v>
      </c>
      <c r="G75" s="35">
        <v>14419.25</v>
      </c>
    </row>
    <row r="76" spans="2:7" x14ac:dyDescent="0.3">
      <c r="B76" s="8" t="s">
        <v>153</v>
      </c>
      <c r="C76" s="82">
        <v>6438.15</v>
      </c>
      <c r="D76" s="83">
        <v>6445.02</v>
      </c>
      <c r="E76" s="35">
        <v>5587.44</v>
      </c>
      <c r="F76" s="35">
        <v>4561.0600000000004</v>
      </c>
      <c r="G76" s="35">
        <v>4779.3100000000004</v>
      </c>
    </row>
    <row r="77" spans="2:7" x14ac:dyDescent="0.3">
      <c r="B77" s="8" t="s">
        <v>23</v>
      </c>
      <c r="C77" s="6">
        <v>722.47</v>
      </c>
      <c r="D77" s="19">
        <v>815.74</v>
      </c>
      <c r="E77" s="35">
        <v>1080.1500000000001</v>
      </c>
      <c r="F77" s="35">
        <v>1311.82</v>
      </c>
      <c r="G77" s="35">
        <v>1230.93</v>
      </c>
    </row>
    <row r="78" spans="2:7" x14ac:dyDescent="0.3">
      <c r="B78" s="8" t="s">
        <v>28</v>
      </c>
      <c r="C78" s="89">
        <v>2166.8200000000002</v>
      </c>
      <c r="D78" s="86">
        <v>1017.59</v>
      </c>
      <c r="E78" s="35">
        <v>1243.21</v>
      </c>
      <c r="F78" s="35">
        <v>1122.33</v>
      </c>
      <c r="G78">
        <v>904.2</v>
      </c>
    </row>
    <row r="79" spans="2:7" x14ac:dyDescent="0.3">
      <c r="B79" s="22" t="s">
        <v>37</v>
      </c>
      <c r="C79" s="35">
        <v>69532.990000000005</v>
      </c>
      <c r="D79" s="35">
        <v>57884.47</v>
      </c>
      <c r="E79" s="35">
        <v>51423.94</v>
      </c>
      <c r="F79" s="143">
        <f>SUM(F68:F78)</f>
        <v>46136.909999999996</v>
      </c>
      <c r="G79" s="80">
        <f>SUM(G68:G78)</f>
        <v>48276.45</v>
      </c>
    </row>
    <row r="80" spans="2:7" x14ac:dyDescent="0.3">
      <c r="B80" t="s">
        <v>278</v>
      </c>
      <c r="C80" s="35"/>
      <c r="D80" s="35"/>
      <c r="E80">
        <v>585.96</v>
      </c>
      <c r="F80">
        <v>489</v>
      </c>
      <c r="G80">
        <v>489</v>
      </c>
    </row>
    <row r="81" spans="2:7" x14ac:dyDescent="0.3">
      <c r="B81" s="12" t="s">
        <v>30</v>
      </c>
      <c r="C81" s="26">
        <f>C65+C79</f>
        <v>214292.21000000002</v>
      </c>
      <c r="D81" s="26">
        <f t="shared" ref="D81:G81" si="35">D65+D79</f>
        <v>173220.12</v>
      </c>
      <c r="E81" s="26">
        <f t="shared" si="35"/>
        <v>163908.75</v>
      </c>
      <c r="F81" s="26">
        <f t="shared" si="35"/>
        <v>46136.909999999996</v>
      </c>
      <c r="G81" s="26">
        <f t="shared" si="35"/>
        <v>48276.45</v>
      </c>
    </row>
    <row r="82" spans="2:7" ht="15" thickBot="1" x14ac:dyDescent="0.35">
      <c r="B82" s="11" t="s">
        <v>29</v>
      </c>
      <c r="C82" s="100">
        <v>337205.03</v>
      </c>
      <c r="D82" s="100">
        <v>289394.83</v>
      </c>
      <c r="E82" s="100">
        <v>267056.31</v>
      </c>
      <c r="F82" s="100">
        <v>244415.8</v>
      </c>
      <c r="G82" s="100">
        <v>241173.93</v>
      </c>
    </row>
    <row r="83" spans="2:7" ht="15" thickTop="1" x14ac:dyDescent="0.3">
      <c r="B83" s="8"/>
      <c r="C83" s="8"/>
      <c r="D83" s="20"/>
      <c r="F83" s="19"/>
      <c r="G83" s="6"/>
    </row>
    <row r="84" spans="2:7" x14ac:dyDescent="0.3">
      <c r="B84" s="15"/>
      <c r="C84" s="15"/>
      <c r="D84" s="28"/>
      <c r="E84" s="16"/>
      <c r="F84" s="4"/>
      <c r="G84" s="17"/>
    </row>
    <row r="87" spans="2:7" ht="15" thickBot="1" x14ac:dyDescent="0.35">
      <c r="B87" t="s">
        <v>294</v>
      </c>
      <c r="C87" s="146">
        <v>65.84</v>
      </c>
      <c r="D87" s="146">
        <v>65.84</v>
      </c>
      <c r="E87" s="146">
        <v>65.84</v>
      </c>
      <c r="F87" s="146">
        <v>65.84</v>
      </c>
      <c r="G87" s="146">
        <v>65.84</v>
      </c>
    </row>
    <row r="88" spans="2:7" x14ac:dyDescent="0.3">
      <c r="B88" t="s">
        <v>38</v>
      </c>
      <c r="C88" s="144">
        <v>1632.7</v>
      </c>
      <c r="D88" s="145">
        <v>1664</v>
      </c>
      <c r="E88" s="145">
        <v>1450.55</v>
      </c>
      <c r="F88" s="147">
        <v>476.1</v>
      </c>
      <c r="G88" s="147">
        <v>830.15</v>
      </c>
    </row>
    <row r="89" spans="2:7" s="72" customFormat="1" x14ac:dyDescent="0.3">
      <c r="B89" s="73" t="s">
        <v>84</v>
      </c>
      <c r="C89" s="74">
        <f>C54/C87</f>
        <v>1866.8411300121506</v>
      </c>
      <c r="D89" s="74">
        <f t="shared" ref="D89:G89" si="36">D54/D87</f>
        <v>1764.5004556500608</v>
      </c>
      <c r="E89" s="74">
        <f t="shared" si="36"/>
        <v>1557.7399756986633</v>
      </c>
      <c r="F89" s="74">
        <f t="shared" si="36"/>
        <v>1381.9524605103279</v>
      </c>
      <c r="G89" s="74">
        <f t="shared" si="36"/>
        <v>1344.5033414337788</v>
      </c>
    </row>
    <row r="90" spans="2:7" x14ac:dyDescent="0.3">
      <c r="B90" t="s">
        <v>85</v>
      </c>
    </row>
    <row r="92" spans="2:7" x14ac:dyDescent="0.3">
      <c r="C92" s="55"/>
      <c r="D92" s="55"/>
      <c r="E92" s="55"/>
      <c r="F92" s="55"/>
      <c r="G92" s="55"/>
    </row>
    <row r="93" spans="2:7" x14ac:dyDescent="0.3">
      <c r="G93" s="58"/>
    </row>
    <row r="94" spans="2:7" x14ac:dyDescent="0.3">
      <c r="C94" s="55"/>
      <c r="D94" s="55"/>
      <c r="E94" s="55"/>
      <c r="F94" s="55"/>
      <c r="G94" s="55"/>
    </row>
    <row r="96" spans="2:7" x14ac:dyDescent="0.3">
      <c r="C96" s="56"/>
      <c r="D96" s="56"/>
      <c r="E96" s="56"/>
    </row>
    <row r="100" spans="2:4" x14ac:dyDescent="0.3">
      <c r="C100" s="9"/>
    </row>
    <row r="101" spans="2:4" x14ac:dyDescent="0.3">
      <c r="C101" s="55"/>
    </row>
    <row r="103" spans="2:4" x14ac:dyDescent="0.3">
      <c r="C103" s="58"/>
      <c r="D103" s="58"/>
    </row>
    <row r="105" spans="2:4" x14ac:dyDescent="0.3">
      <c r="C105" s="55"/>
    </row>
    <row r="106" spans="2:4" x14ac:dyDescent="0.3">
      <c r="C106" s="55"/>
    </row>
    <row r="107" spans="2:4" x14ac:dyDescent="0.3">
      <c r="C107" s="56"/>
    </row>
    <row r="111" spans="2:4" x14ac:dyDescent="0.3">
      <c r="B111" s="31" t="s">
        <v>87</v>
      </c>
    </row>
    <row r="112" spans="2:4" x14ac:dyDescent="0.3">
      <c r="B112" s="31"/>
    </row>
    <row r="113" spans="2:3" x14ac:dyDescent="0.3">
      <c r="B113" s="31" t="s">
        <v>88</v>
      </c>
      <c r="C113" s="55"/>
    </row>
    <row r="114" spans="2:3" x14ac:dyDescent="0.3">
      <c r="B114" s="31"/>
    </row>
    <row r="115" spans="2:3" x14ac:dyDescent="0.3">
      <c r="B115" s="31" t="s">
        <v>89</v>
      </c>
      <c r="C115" s="9"/>
    </row>
    <row r="116" spans="2:3" x14ac:dyDescent="0.3">
      <c r="B116" s="31"/>
    </row>
    <row r="117" spans="2:3" x14ac:dyDescent="0.3">
      <c r="B117" s="31" t="s">
        <v>90</v>
      </c>
      <c r="C117" s="55"/>
    </row>
    <row r="120" spans="2:3" x14ac:dyDescent="0.3">
      <c r="B120" t="s">
        <v>91</v>
      </c>
    </row>
    <row r="121" spans="2:3" x14ac:dyDescent="0.3">
      <c r="B121" t="s">
        <v>92</v>
      </c>
      <c r="C121" s="9"/>
    </row>
    <row r="122" spans="2:3" x14ac:dyDescent="0.3">
      <c r="B122" t="s">
        <v>93</v>
      </c>
      <c r="C122" s="9"/>
    </row>
    <row r="123" spans="2:3" x14ac:dyDescent="0.3">
      <c r="B123" s="71" t="s">
        <v>94</v>
      </c>
      <c r="C123" s="75"/>
    </row>
    <row r="124" spans="2:3" x14ac:dyDescent="0.3">
      <c r="B124" t="s">
        <v>95</v>
      </c>
      <c r="C124" s="55"/>
    </row>
    <row r="127" spans="2:3" x14ac:dyDescent="0.3">
      <c r="B127" t="s">
        <v>96</v>
      </c>
      <c r="C127" s="55"/>
    </row>
    <row r="128" spans="2:3" x14ac:dyDescent="0.3">
      <c r="B128" t="s">
        <v>97</v>
      </c>
    </row>
  </sheetData>
  <mergeCells count="8">
    <mergeCell ref="I25:I26"/>
    <mergeCell ref="I40:I43"/>
    <mergeCell ref="I52:I53"/>
    <mergeCell ref="B2:G2"/>
    <mergeCell ref="B3:G3"/>
    <mergeCell ref="I2:N2"/>
    <mergeCell ref="I3:N3"/>
    <mergeCell ref="I11:I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A534-E8F1-4BC0-9D0A-66789B0D073F}">
  <sheetPr>
    <tabColor rgb="FFCCECFF"/>
  </sheetPr>
  <dimension ref="B2:AC84"/>
  <sheetViews>
    <sheetView zoomScale="80" zoomScaleNormal="80" workbookViewId="0">
      <pane xSplit="2" ySplit="4" topLeftCell="E15" activePane="bottomRight" state="frozen"/>
      <selection pane="topRight" activeCell="C1" sqref="C1"/>
      <selection pane="bottomLeft" activeCell="A5" sqref="A5"/>
      <selection pane="bottomRight" activeCell="O15" sqref="O15"/>
    </sheetView>
  </sheetViews>
  <sheetFormatPr defaultRowHeight="14.4" x14ac:dyDescent="0.3"/>
  <cols>
    <col min="1" max="1" width="4.6640625" customWidth="1"/>
    <col min="2" max="2" width="70" bestFit="1" customWidth="1"/>
    <col min="3" max="3" width="13.109375" customWidth="1"/>
    <col min="4" max="7" width="9.88671875" bestFit="1" customWidth="1"/>
    <col min="9" max="9" width="56.109375" bestFit="1" customWidth="1"/>
    <col min="10" max="10" width="11.5546875" bestFit="1" customWidth="1"/>
    <col min="11" max="14" width="9.5546875" bestFit="1" customWidth="1"/>
    <col min="17" max="17" width="48.88671875" customWidth="1"/>
    <col min="18" max="18" width="11" customWidth="1"/>
    <col min="19" max="19" width="11.88671875" customWidth="1"/>
    <col min="20" max="20" width="12" customWidth="1"/>
    <col min="21" max="22" width="10.5546875" customWidth="1"/>
    <col min="24" max="24" width="57.109375" customWidth="1"/>
    <col min="25" max="25" width="24.21875" bestFit="1" customWidth="1"/>
    <col min="26" max="29" width="13.77734375" bestFit="1" customWidth="1"/>
  </cols>
  <sheetData>
    <row r="2" spans="2:29" ht="15.6" x14ac:dyDescent="0.3">
      <c r="B2" s="295" t="s">
        <v>156</v>
      </c>
      <c r="C2" s="296"/>
      <c r="D2" s="296"/>
      <c r="E2" s="296"/>
      <c r="F2" s="296"/>
      <c r="G2" s="297"/>
      <c r="I2" s="320" t="s">
        <v>364</v>
      </c>
      <c r="J2" s="321"/>
      <c r="K2" s="321"/>
      <c r="L2" s="321"/>
      <c r="M2" s="321"/>
      <c r="N2" s="322"/>
      <c r="Q2" s="309" t="s">
        <v>98</v>
      </c>
      <c r="R2" s="309"/>
      <c r="S2" s="309"/>
      <c r="T2" s="309"/>
      <c r="U2" s="309"/>
      <c r="V2" s="309"/>
      <c r="X2" s="309" t="s">
        <v>112</v>
      </c>
      <c r="Y2" s="309"/>
      <c r="Z2" s="309"/>
      <c r="AA2" s="309"/>
      <c r="AB2" s="309"/>
      <c r="AC2" s="309"/>
    </row>
    <row r="3" spans="2:29" ht="28.8" x14ac:dyDescent="0.3">
      <c r="B3" s="298" t="s">
        <v>157</v>
      </c>
      <c r="C3" s="299"/>
      <c r="D3" s="299"/>
      <c r="E3" s="299"/>
      <c r="F3" s="299"/>
      <c r="G3" s="300"/>
      <c r="I3" s="327" t="s">
        <v>365</v>
      </c>
      <c r="J3" s="328"/>
      <c r="K3" s="328"/>
      <c r="L3" s="328"/>
      <c r="M3" s="328"/>
      <c r="N3" s="329"/>
      <c r="Q3" s="36" t="s">
        <v>0</v>
      </c>
      <c r="R3" s="1" t="s">
        <v>60</v>
      </c>
      <c r="S3" s="30" t="s">
        <v>61</v>
      </c>
      <c r="T3" s="1" t="s">
        <v>57</v>
      </c>
      <c r="U3" s="18" t="s">
        <v>62</v>
      </c>
      <c r="V3" s="1" t="s">
        <v>63</v>
      </c>
      <c r="X3" s="36" t="s">
        <v>0</v>
      </c>
      <c r="Y3" s="1" t="s">
        <v>60</v>
      </c>
      <c r="Z3" s="30" t="s">
        <v>61</v>
      </c>
      <c r="AA3" s="1" t="s">
        <v>57</v>
      </c>
      <c r="AB3" s="18" t="s">
        <v>62</v>
      </c>
      <c r="AC3" s="1" t="s">
        <v>63</v>
      </c>
    </row>
    <row r="4" spans="2:29" ht="28.8" x14ac:dyDescent="0.3">
      <c r="B4" s="36" t="s">
        <v>0</v>
      </c>
      <c r="C4" s="1" t="s">
        <v>60</v>
      </c>
      <c r="D4" s="30" t="s">
        <v>61</v>
      </c>
      <c r="E4" s="1" t="s">
        <v>57</v>
      </c>
      <c r="F4" s="18" t="s">
        <v>62</v>
      </c>
      <c r="G4" s="1" t="s">
        <v>63</v>
      </c>
      <c r="I4" s="8"/>
      <c r="J4" s="1" t="s">
        <v>60</v>
      </c>
      <c r="K4" s="30" t="s">
        <v>61</v>
      </c>
      <c r="L4" s="1" t="s">
        <v>57</v>
      </c>
      <c r="M4" s="18" t="s">
        <v>62</v>
      </c>
      <c r="N4" s="1" t="s">
        <v>63</v>
      </c>
      <c r="Q4" s="76"/>
      <c r="R4" s="64"/>
      <c r="S4" s="64"/>
      <c r="T4" s="64"/>
      <c r="U4" s="64"/>
      <c r="V4" s="64"/>
      <c r="X4" s="77" t="s">
        <v>113</v>
      </c>
      <c r="Y4" s="66">
        <f>'Statement of P &amp; L'!R4</f>
        <v>0.22910858001363188</v>
      </c>
      <c r="Z4" s="66">
        <f>'Statement of P &amp; L'!S4</f>
        <v>0.25266849926719104</v>
      </c>
      <c r="AA4" s="66">
        <f>'Statement of P &amp; L'!T4</f>
        <v>-1.5810478827080532E-2</v>
      </c>
      <c r="AB4" s="66">
        <f>'Statement of P &amp; L'!U4</f>
        <v>5.5032205206591023E-3</v>
      </c>
      <c r="AC4" s="66">
        <f>'Statement of P &amp; L'!V4</f>
        <v>0</v>
      </c>
    </row>
    <row r="5" spans="2:29" x14ac:dyDescent="0.3">
      <c r="B5" s="40" t="s">
        <v>39</v>
      </c>
      <c r="C5" s="102">
        <v>117627.08</v>
      </c>
      <c r="D5" s="35">
        <v>95701.13</v>
      </c>
      <c r="E5" s="90">
        <v>76397.81</v>
      </c>
      <c r="F5" s="35">
        <v>77625.100000000006</v>
      </c>
      <c r="G5" s="90">
        <v>77200.25</v>
      </c>
      <c r="I5" s="40" t="s">
        <v>39</v>
      </c>
      <c r="J5" s="206">
        <f>(C5/$C$5)*100</f>
        <v>100</v>
      </c>
      <c r="K5" s="206">
        <f>(D5/$D$5)*100</f>
        <v>100</v>
      </c>
      <c r="L5" s="206">
        <f>(E5/$E$5)*100</f>
        <v>100</v>
      </c>
      <c r="M5" s="207">
        <f>(F5/$F$5)*100</f>
        <v>100</v>
      </c>
      <c r="N5" s="206">
        <f>(G5/$G$5)*100</f>
        <v>100</v>
      </c>
      <c r="Q5" s="64" t="s">
        <v>99</v>
      </c>
      <c r="R5" s="66">
        <f>'Statement of P &amp; L'!K5</f>
        <v>0.97020722600038456</v>
      </c>
      <c r="S5" s="66">
        <f>'Statement of P &amp; L'!L5</f>
        <v>0.9914906860547601</v>
      </c>
      <c r="T5" s="66">
        <f>'Statement of P &amp; L'!M5</f>
        <v>0.98641751938062561</v>
      </c>
      <c r="U5" s="66">
        <f>'Statement of P &amp; L'!N5</f>
        <v>0.98770086565109727</v>
      </c>
      <c r="V5" s="66">
        <f>'Statement of P &amp; L'!O5</f>
        <v>0.9893923894440888</v>
      </c>
      <c r="X5" s="64"/>
      <c r="Y5" s="229"/>
      <c r="Z5" s="229"/>
      <c r="AA5" s="229"/>
      <c r="AB5" s="229"/>
      <c r="AC5" s="229"/>
    </row>
    <row r="6" spans="2:29" x14ac:dyDescent="0.3">
      <c r="B6" s="19" t="s">
        <v>40</v>
      </c>
      <c r="C6" s="86">
        <v>3612.05</v>
      </c>
      <c r="D6">
        <v>821.34</v>
      </c>
      <c r="E6" s="82">
        <v>1051.96</v>
      </c>
      <c r="F6">
        <v>966.61</v>
      </c>
      <c r="G6" s="83">
        <v>827.69</v>
      </c>
      <c r="I6" s="19" t="s">
        <v>40</v>
      </c>
      <c r="J6" s="208">
        <f>(C6/$C$5)*100</f>
        <v>3.0707639771385979</v>
      </c>
      <c r="K6" s="208">
        <f>(D6/$D$5)*100</f>
        <v>0.85823438030460042</v>
      </c>
      <c r="L6" s="208">
        <f>(E6/$E$5)*100</f>
        <v>1.376950464941338</v>
      </c>
      <c r="M6" s="209">
        <f>(F6/$F$5)*100</f>
        <v>1.2452286695926962</v>
      </c>
      <c r="N6" s="208">
        <f t="shared" ref="N6:N12" si="0">(G6/$G$5)*100</f>
        <v>1.0721338337634916</v>
      </c>
      <c r="Q6" s="64" t="s">
        <v>100</v>
      </c>
      <c r="R6" s="66">
        <f>'Statement of P &amp; L'!K6</f>
        <v>2.9792773999615472E-2</v>
      </c>
      <c r="S6" s="66">
        <f>'Statement of P &amp; L'!L6</f>
        <v>8.5093139452399012E-3</v>
      </c>
      <c r="T6" s="66">
        <f>'Statement of P &amp; L'!M6</f>
        <v>1.3582480619374337E-2</v>
      </c>
      <c r="U6" s="66">
        <f>'Statement of P &amp; L'!N6</f>
        <v>1.2299134348902702E-2</v>
      </c>
      <c r="V6" s="66">
        <f>'Statement of P &amp; L'!O6</f>
        <v>1.0607610555911126E-2</v>
      </c>
      <c r="X6" s="64"/>
      <c r="Y6" s="229"/>
      <c r="Z6" s="229"/>
      <c r="AA6" s="229"/>
      <c r="AB6" s="229"/>
      <c r="AC6" s="229"/>
    </row>
    <row r="7" spans="2:29" x14ac:dyDescent="0.3">
      <c r="B7" s="44" t="s">
        <v>166</v>
      </c>
      <c r="C7" s="101">
        <v>121239.13</v>
      </c>
      <c r="D7" s="103">
        <v>96522.47</v>
      </c>
      <c r="E7" s="101">
        <v>77449.77</v>
      </c>
      <c r="F7" s="104">
        <v>78591.710000000006</v>
      </c>
      <c r="G7" s="101">
        <v>78027.94</v>
      </c>
      <c r="I7" s="44" t="s">
        <v>166</v>
      </c>
      <c r="J7" s="210">
        <f>(C7/$C$5)*100</f>
        <v>103.0707639771386</v>
      </c>
      <c r="K7" s="210">
        <f>(D7/$D$5)*100</f>
        <v>100.85823438030459</v>
      </c>
      <c r="L7" s="210">
        <f>(E7/$E$5)*100</f>
        <v>101.37695046494134</v>
      </c>
      <c r="M7" s="211">
        <f>(F7/$F$5)*100</f>
        <v>101.24522866959269</v>
      </c>
      <c r="N7" s="210">
        <f t="shared" si="0"/>
        <v>101.0721338337635</v>
      </c>
      <c r="Q7" s="64"/>
      <c r="R7" s="229"/>
      <c r="S7" s="229"/>
      <c r="T7" s="229"/>
      <c r="U7" s="229"/>
      <c r="V7" s="229"/>
      <c r="X7" s="77" t="s">
        <v>114</v>
      </c>
      <c r="Y7" s="66">
        <f>'Statement of P &amp; L'!R7</f>
        <v>3.6260996861714467E-2</v>
      </c>
      <c r="Z7" s="66">
        <f>'Statement of P &amp; L'!S7</f>
        <v>0.5839635277453461</v>
      </c>
      <c r="AA7" s="66">
        <f>'Statement of P &amp; L'!T7</f>
        <v>1.0746569064976619E-2</v>
      </c>
      <c r="AB7" s="66">
        <f>'Statement of P &amp; L'!U7</f>
        <v>1.4328278816937123</v>
      </c>
      <c r="AC7" s="66">
        <f>'Statement of P &amp; L'!V7</f>
        <v>0</v>
      </c>
    </row>
    <row r="8" spans="2:29" x14ac:dyDescent="0.3">
      <c r="B8" s="38" t="s">
        <v>41</v>
      </c>
      <c r="C8" s="38"/>
      <c r="D8" s="57"/>
      <c r="E8" s="20"/>
      <c r="F8" s="9"/>
      <c r="G8" s="20"/>
      <c r="I8" s="38" t="s">
        <v>41</v>
      </c>
      <c r="J8" s="38"/>
      <c r="K8" s="38"/>
      <c r="L8" s="206">
        <f t="shared" ref="L8:L12" si="1">(E8/$E$5)*100</f>
        <v>0</v>
      </c>
      <c r="M8" s="207">
        <f t="shared" ref="M8:M12" si="2">(F8/$F$5)*100</f>
        <v>0</v>
      </c>
      <c r="N8" s="206">
        <f t="shared" si="0"/>
        <v>0</v>
      </c>
      <c r="Q8" s="64"/>
      <c r="R8" s="229"/>
      <c r="S8" s="229"/>
      <c r="T8" s="229"/>
      <c r="U8" s="229"/>
      <c r="V8" s="229"/>
      <c r="X8" s="64"/>
      <c r="Y8" s="229"/>
      <c r="Z8" s="229"/>
      <c r="AA8" s="229"/>
      <c r="AB8" s="229"/>
      <c r="AC8" s="229"/>
    </row>
    <row r="9" spans="2:29" x14ac:dyDescent="0.3">
      <c r="B9" s="109" t="s">
        <v>43</v>
      </c>
      <c r="C9" s="87">
        <v>21622.26</v>
      </c>
      <c r="D9" s="83">
        <v>16889.599999999999</v>
      </c>
      <c r="E9" s="83">
        <v>11006.75</v>
      </c>
      <c r="F9" s="83">
        <v>14618.05</v>
      </c>
      <c r="G9" s="82">
        <v>15261.12</v>
      </c>
      <c r="I9" s="19" t="s">
        <v>43</v>
      </c>
      <c r="J9" s="208">
        <f t="shared" ref="J9:J11" si="3">(C9/$C$5)*100</f>
        <v>18.382042638480865</v>
      </c>
      <c r="K9" s="208">
        <f t="shared" ref="K9:K12" si="4">(D9/$D$5)*100</f>
        <v>17.648276462357337</v>
      </c>
      <c r="L9" s="208">
        <f t="shared" si="1"/>
        <v>14.407153817629064</v>
      </c>
      <c r="M9" s="209">
        <f t="shared" si="2"/>
        <v>18.831602149304796</v>
      </c>
      <c r="N9" s="208">
        <f t="shared" si="0"/>
        <v>19.768226139164057</v>
      </c>
      <c r="Q9" s="310" t="s">
        <v>101</v>
      </c>
      <c r="R9" s="313">
        <f>'Statement of P &amp; L'!K9</f>
        <v>0.20642585023788737</v>
      </c>
      <c r="S9" s="313">
        <f>'Statement of P &amp; L'!L9</f>
        <v>0.20079073256501778</v>
      </c>
      <c r="T9" s="313">
        <f>'Statement of P &amp; L'!M9</f>
        <v>0.16530866526147805</v>
      </c>
      <c r="U9" s="313">
        <f>'Statement of P &amp; L'!N9</f>
        <v>0.21402626212397793</v>
      </c>
      <c r="V9" s="313">
        <f>'Statement of P &amp; L'!O9</f>
        <v>0.21823789430733709</v>
      </c>
      <c r="X9" s="77" t="s">
        <v>115</v>
      </c>
      <c r="Y9" s="80">
        <f>'Statement of P &amp; L'!R9</f>
        <v>219536.97</v>
      </c>
      <c r="Z9" s="80">
        <f>'Statement of P &amp; L'!S9</f>
        <v>176427.66</v>
      </c>
      <c r="AA9" s="80">
        <f>'Statement of P &amp; L'!T9</f>
        <v>140009.03999999998</v>
      </c>
      <c r="AB9" s="80">
        <f>'Statement of P &amp; L'!U9</f>
        <v>144162.28</v>
      </c>
      <c r="AC9" s="80">
        <f>'Statement of P &amp; L'!V9</f>
        <v>143355.21000000002</v>
      </c>
    </row>
    <row r="10" spans="2:29" x14ac:dyDescent="0.3">
      <c r="B10" s="109" t="s">
        <v>44</v>
      </c>
      <c r="C10" s="87">
        <v>1824.35</v>
      </c>
      <c r="D10" s="83">
        <v>1404.56</v>
      </c>
      <c r="E10" s="19">
        <v>898.44</v>
      </c>
      <c r="F10" s="83">
        <v>1469.86</v>
      </c>
      <c r="G10" s="82">
        <v>1507.01</v>
      </c>
      <c r="I10" s="19" t="s">
        <v>44</v>
      </c>
      <c r="J10" s="208">
        <f t="shared" si="3"/>
        <v>1.550960884177351</v>
      </c>
      <c r="K10" s="208">
        <f t="shared" si="4"/>
        <v>1.4676524718151185</v>
      </c>
      <c r="L10" s="208">
        <f t="shared" si="1"/>
        <v>1.1760022964009047</v>
      </c>
      <c r="M10" s="209">
        <f t="shared" si="2"/>
        <v>1.8935370131568268</v>
      </c>
      <c r="N10" s="208">
        <f t="shared" si="0"/>
        <v>1.952079170728074</v>
      </c>
      <c r="Q10" s="311"/>
      <c r="R10" s="314"/>
      <c r="S10" s="314"/>
      <c r="T10" s="314"/>
      <c r="U10" s="314"/>
      <c r="V10" s="314"/>
      <c r="X10" s="77"/>
      <c r="Y10" s="80"/>
      <c r="Z10" s="80"/>
      <c r="AA10" s="80"/>
      <c r="AB10" s="80"/>
      <c r="AC10" s="80"/>
    </row>
    <row r="11" spans="2:29" ht="31.2" customHeight="1" x14ac:dyDescent="0.3">
      <c r="B11" s="112" t="s">
        <v>45</v>
      </c>
      <c r="C11" s="8">
        <v>834.66</v>
      </c>
      <c r="D11" s="19">
        <v>921.74</v>
      </c>
      <c r="E11" s="19">
        <v>724.03</v>
      </c>
      <c r="F11" s="19">
        <v>525.9</v>
      </c>
      <c r="G11" s="6">
        <v>79.89</v>
      </c>
      <c r="I11" s="212" t="s">
        <v>45</v>
      </c>
      <c r="J11" s="213">
        <f t="shared" si="3"/>
        <v>0.70958150113052199</v>
      </c>
      <c r="K11" s="213">
        <f t="shared" si="4"/>
        <v>0.96314432232931824</v>
      </c>
      <c r="L11" s="213">
        <f t="shared" si="1"/>
        <v>0.94771041211783413</v>
      </c>
      <c r="M11" s="214">
        <f t="shared" si="2"/>
        <v>0.67748704993616748</v>
      </c>
      <c r="N11" s="213">
        <f t="shared" si="0"/>
        <v>0.10348412084157758</v>
      </c>
      <c r="Q11" s="312"/>
      <c r="R11" s="315"/>
      <c r="S11" s="315"/>
      <c r="T11" s="315"/>
      <c r="U11" s="315"/>
      <c r="V11" s="315"/>
      <c r="X11" s="77" t="s">
        <v>116</v>
      </c>
      <c r="Y11" s="66">
        <f>'Statement of P &amp; L'!R11</f>
        <v>1.8663811938543404</v>
      </c>
      <c r="Z11" s="66">
        <f>'Statement of P &amp; L'!S11</f>
        <v>1.8435274484219779</v>
      </c>
      <c r="AA11" s="66">
        <f>'Statement of P &amp; L'!T11</f>
        <v>1.8326315898322214</v>
      </c>
      <c r="AB11" s="66">
        <f>'Statement of P &amp; L'!U11</f>
        <v>1.8571606348977328</v>
      </c>
      <c r="AC11" s="66">
        <f>'Statement of P &amp; L'!V11</f>
        <v>1.8569267586568698</v>
      </c>
    </row>
    <row r="12" spans="2:29" ht="15" customHeight="1" x14ac:dyDescent="0.3">
      <c r="B12" s="19" t="s">
        <v>46</v>
      </c>
      <c r="C12" s="87">
        <v>7193.86</v>
      </c>
      <c r="D12" s="83">
        <v>6327.71</v>
      </c>
      <c r="E12" s="83">
        <v>5534.74</v>
      </c>
      <c r="F12" s="83">
        <v>5864.53</v>
      </c>
      <c r="G12" s="82">
        <v>5428.21</v>
      </c>
      <c r="I12" s="19" t="s">
        <v>46</v>
      </c>
      <c r="J12" s="208">
        <f t="shared" ref="J12:J21" si="5">(C12/$C$5)*100</f>
        <v>6.1158195884825153</v>
      </c>
      <c r="K12" s="208">
        <f t="shared" si="4"/>
        <v>6.6119490961078515</v>
      </c>
      <c r="L12" s="208">
        <f t="shared" si="1"/>
        <v>7.2446317505698135</v>
      </c>
      <c r="M12" s="209">
        <f t="shared" si="2"/>
        <v>7.5549403479029333</v>
      </c>
      <c r="N12" s="208">
        <f t="shared" si="0"/>
        <v>7.0313373337521581</v>
      </c>
      <c r="Q12" s="64" t="s">
        <v>102</v>
      </c>
      <c r="R12" s="66">
        <f>'Statement of P &amp; L'!K12</f>
        <v>6.1158195884825156E-2</v>
      </c>
      <c r="S12" s="66">
        <f>'Statement of P &amp; L'!L12</f>
        <v>6.6119490961078511E-2</v>
      </c>
      <c r="T12" s="66">
        <f>'Statement of P &amp; L'!M12</f>
        <v>7.2446317505698132E-2</v>
      </c>
      <c r="U12" s="66">
        <f>'Statement of P &amp; L'!N12</f>
        <v>7.5549403479029331E-2</v>
      </c>
      <c r="V12" s="66">
        <f>'Statement of P &amp; L'!O12</f>
        <v>7.0313373337521579E-2</v>
      </c>
      <c r="X12" s="64"/>
      <c r="Y12" s="229"/>
      <c r="Z12" s="229"/>
      <c r="AA12" s="229"/>
      <c r="AB12" s="229"/>
      <c r="AC12" s="229"/>
    </row>
    <row r="13" spans="2:29" ht="15" customHeight="1" x14ac:dyDescent="0.3">
      <c r="B13" s="19" t="s">
        <v>160</v>
      </c>
      <c r="C13" s="87">
        <v>23168.73</v>
      </c>
      <c r="D13" s="83">
        <v>15520.7</v>
      </c>
      <c r="E13" s="83">
        <v>10363.780000000001</v>
      </c>
      <c r="F13" s="83">
        <v>11436.68</v>
      </c>
      <c r="G13" s="82">
        <v>12423.45</v>
      </c>
      <c r="I13" s="19" t="s">
        <v>160</v>
      </c>
      <c r="J13" s="208">
        <f t="shared" si="5"/>
        <v>19.696765404701026</v>
      </c>
      <c r="K13" s="208">
        <f t="shared" ref="K13:K21" si="6">(D13/$D$5)*100</f>
        <v>16.217885828516341</v>
      </c>
      <c r="L13" s="208">
        <f t="shared" ref="L13:L19" si="7">(E13/$E$5)*100</f>
        <v>13.565545923371364</v>
      </c>
      <c r="M13" s="208">
        <f t="shared" ref="M13:M19" si="8">(F13/$F$5)*100</f>
        <v>14.733224176200737</v>
      </c>
      <c r="N13" s="208">
        <f t="shared" ref="N13:N21" si="9">(G13/$G$5)*100</f>
        <v>16.092499700454336</v>
      </c>
      <c r="Q13" s="64"/>
      <c r="R13" s="66"/>
      <c r="S13" s="66"/>
      <c r="T13" s="66"/>
      <c r="U13" s="66"/>
      <c r="V13" s="66"/>
      <c r="X13" s="64"/>
      <c r="Y13" s="229"/>
      <c r="Z13" s="229"/>
      <c r="AA13" s="229"/>
      <c r="AB13" s="229"/>
      <c r="AC13" s="229"/>
    </row>
    <row r="14" spans="2:29" ht="15" customHeight="1" x14ac:dyDescent="0.3">
      <c r="B14" s="8" t="s">
        <v>161</v>
      </c>
      <c r="C14" s="35">
        <v>15024.93</v>
      </c>
      <c r="D14" s="83">
        <v>12584.1</v>
      </c>
      <c r="E14" s="83">
        <v>10381.83</v>
      </c>
      <c r="F14" s="83">
        <v>10058.06</v>
      </c>
      <c r="G14" s="82">
        <v>10619.15</v>
      </c>
      <c r="I14" s="8" t="s">
        <v>161</v>
      </c>
      <c r="J14" s="208">
        <f t="shared" si="5"/>
        <v>12.773359671939488</v>
      </c>
      <c r="K14" s="208">
        <f t="shared" si="6"/>
        <v>13.149374516267468</v>
      </c>
      <c r="L14" s="208">
        <f t="shared" si="7"/>
        <v>13.589172255068569</v>
      </c>
      <c r="M14" s="208">
        <f t="shared" si="8"/>
        <v>12.957226464120494</v>
      </c>
      <c r="N14" s="208">
        <f t="shared" si="9"/>
        <v>13.755331103202387</v>
      </c>
      <c r="Q14" s="64"/>
      <c r="R14" s="66"/>
      <c r="S14" s="66"/>
      <c r="T14" s="66"/>
      <c r="U14" s="66"/>
      <c r="V14" s="66"/>
      <c r="X14" s="64"/>
      <c r="Y14" s="229"/>
      <c r="Z14" s="229"/>
      <c r="AA14" s="229"/>
      <c r="AB14" s="229"/>
      <c r="AC14" s="229"/>
    </row>
    <row r="15" spans="2:29" ht="15" customHeight="1" x14ac:dyDescent="0.3">
      <c r="B15" s="8" t="s">
        <v>162</v>
      </c>
      <c r="C15" s="35">
        <v>7451.57</v>
      </c>
      <c r="D15" s="83">
        <v>4240.83</v>
      </c>
      <c r="E15" s="83">
        <v>4374.84</v>
      </c>
      <c r="F15" s="83">
        <v>1032.26</v>
      </c>
      <c r="G15" s="82">
        <v>1408.88</v>
      </c>
      <c r="I15" s="8" t="s">
        <v>162</v>
      </c>
      <c r="J15" s="208">
        <f t="shared" si="5"/>
        <v>6.3349102944662059</v>
      </c>
      <c r="K15" s="208">
        <f t="shared" si="6"/>
        <v>4.4313269864211637</v>
      </c>
      <c r="L15" s="208">
        <f t="shared" si="7"/>
        <v>5.72639451314115</v>
      </c>
      <c r="M15" s="208">
        <f t="shared" si="8"/>
        <v>1.3298018295628604</v>
      </c>
      <c r="N15" s="208">
        <f t="shared" si="9"/>
        <v>1.8249681833931886</v>
      </c>
      <c r="Q15" s="64"/>
      <c r="R15" s="66"/>
      <c r="S15" s="66"/>
      <c r="T15" s="66"/>
      <c r="U15" s="66"/>
      <c r="V15" s="66"/>
      <c r="X15" s="64"/>
      <c r="Y15" s="229"/>
      <c r="Z15" s="229"/>
      <c r="AA15" s="229"/>
      <c r="AB15" s="229"/>
      <c r="AC15" s="229"/>
    </row>
    <row r="16" spans="2:29" ht="15" customHeight="1" x14ac:dyDescent="0.3">
      <c r="B16" s="8" t="s">
        <v>163</v>
      </c>
      <c r="C16" s="35">
        <v>5467.75</v>
      </c>
      <c r="D16" s="83">
        <v>6702.55</v>
      </c>
      <c r="E16" s="83">
        <v>4445.05</v>
      </c>
      <c r="F16" s="83">
        <v>5177.01</v>
      </c>
      <c r="G16" s="82">
        <v>4553.57</v>
      </c>
      <c r="I16" s="8" t="s">
        <v>163</v>
      </c>
      <c r="J16" s="208">
        <f t="shared" si="5"/>
        <v>4.6483768873630122</v>
      </c>
      <c r="K16" s="208">
        <f t="shared" si="6"/>
        <v>7.0036268119300154</v>
      </c>
      <c r="L16" s="208">
        <f t="shared" si="7"/>
        <v>5.8182950532220756</v>
      </c>
      <c r="M16" s="208">
        <f t="shared" si="8"/>
        <v>6.6692474470242225</v>
      </c>
      <c r="N16" s="208">
        <f t="shared" si="9"/>
        <v>5.8983876347550686</v>
      </c>
      <c r="Q16" s="64"/>
      <c r="R16" s="66"/>
      <c r="S16" s="66"/>
      <c r="T16" s="66"/>
      <c r="U16" s="66"/>
      <c r="V16" s="66"/>
      <c r="X16" s="64"/>
      <c r="Y16" s="229"/>
      <c r="Z16" s="229"/>
      <c r="AA16" s="229"/>
      <c r="AB16" s="229"/>
      <c r="AC16" s="229"/>
    </row>
    <row r="17" spans="2:29" ht="15" customHeight="1" x14ac:dyDescent="0.3">
      <c r="B17" s="19" t="s">
        <v>164</v>
      </c>
      <c r="C17" s="35">
        <v>4723.46</v>
      </c>
      <c r="D17" s="83">
        <v>3480.3</v>
      </c>
      <c r="E17" s="83">
        <v>3914.6</v>
      </c>
      <c r="F17" s="83">
        <v>4587.82</v>
      </c>
      <c r="G17" s="82">
        <v>4050.18</v>
      </c>
      <c r="I17" s="19" t="s">
        <v>164</v>
      </c>
      <c r="J17" s="208">
        <f t="shared" si="5"/>
        <v>4.0156229330864965</v>
      </c>
      <c r="K17" s="208">
        <f t="shared" si="6"/>
        <v>3.6366341755839251</v>
      </c>
      <c r="L17" s="208">
        <f t="shared" si="7"/>
        <v>5.1239688676939821</v>
      </c>
      <c r="M17" s="208">
        <f t="shared" si="8"/>
        <v>5.9102274908502528</v>
      </c>
      <c r="N17" s="208">
        <f t="shared" si="9"/>
        <v>5.2463301608479247</v>
      </c>
      <c r="O17" s="208"/>
      <c r="Q17" s="64" t="s">
        <v>103</v>
      </c>
      <c r="R17" s="66">
        <f>'Statement of P &amp; L'!K17</f>
        <v>4.0156229330864969E-2</v>
      </c>
      <c r="S17" s="66">
        <f>'Statement of P &amp; L'!L17</f>
        <v>3.6366341755839249E-2</v>
      </c>
      <c r="T17" s="66">
        <f>'Statement of P &amp; L'!M17</f>
        <v>5.1239688676939822E-2</v>
      </c>
      <c r="U17" s="66">
        <f>'Statement of P &amp; L'!N17</f>
        <v>5.9102274908502526E-2</v>
      </c>
      <c r="V17" s="66">
        <f>'Statement of P &amp; L'!O17</f>
        <v>5.2463301608479243E-2</v>
      </c>
      <c r="X17" s="64"/>
      <c r="Y17" s="229"/>
      <c r="Z17" s="229"/>
      <c r="AA17" s="229"/>
      <c r="AB17" s="229"/>
      <c r="AC17" s="229"/>
    </row>
    <row r="18" spans="2:29" ht="15" customHeight="1" x14ac:dyDescent="0.3">
      <c r="B18" s="19" t="s">
        <v>165</v>
      </c>
      <c r="C18" s="35">
        <v>1320.27</v>
      </c>
      <c r="D18" s="83">
        <v>1295.7</v>
      </c>
      <c r="E18" s="83">
        <v>1808.88</v>
      </c>
      <c r="F18" s="83">
        <v>2338.5</v>
      </c>
      <c r="G18" s="82">
        <v>2009.85</v>
      </c>
      <c r="I18" s="19" t="s">
        <v>165</v>
      </c>
      <c r="J18" s="208">
        <f t="shared" si="5"/>
        <v>1.1224201093829755</v>
      </c>
      <c r="K18" s="208">
        <f t="shared" si="6"/>
        <v>1.3539025087791545</v>
      </c>
      <c r="L18" s="208">
        <f t="shared" si="7"/>
        <v>2.367711849331807</v>
      </c>
      <c r="M18" s="208">
        <f t="shared" si="8"/>
        <v>3.0125565055632775</v>
      </c>
      <c r="N18" s="208">
        <f t="shared" si="9"/>
        <v>2.6034242117091591</v>
      </c>
      <c r="Q18" s="64"/>
      <c r="R18" s="66"/>
      <c r="S18" s="66"/>
      <c r="T18" s="66"/>
      <c r="U18" s="66"/>
      <c r="V18" s="66"/>
      <c r="X18" s="64"/>
      <c r="Y18" s="229"/>
      <c r="Z18" s="229"/>
      <c r="AA18" s="229"/>
      <c r="AB18" s="229"/>
      <c r="AC18" s="229"/>
    </row>
    <row r="19" spans="2:29" ht="15" customHeight="1" x14ac:dyDescent="0.3">
      <c r="B19" s="19" t="s">
        <v>47</v>
      </c>
      <c r="C19" s="35">
        <v>4551.59</v>
      </c>
      <c r="D19" s="83">
        <v>4161.07</v>
      </c>
      <c r="E19" s="83">
        <v>4033.4</v>
      </c>
      <c r="F19" s="83">
        <v>4040.82</v>
      </c>
      <c r="G19" s="82">
        <v>3571.38</v>
      </c>
      <c r="I19" s="19" t="s">
        <v>47</v>
      </c>
      <c r="J19" s="208">
        <f t="shared" si="5"/>
        <v>3.8695086199538404</v>
      </c>
      <c r="K19" s="208">
        <f t="shared" si="6"/>
        <v>4.3479841878565066</v>
      </c>
      <c r="L19" s="208">
        <f t="shared" si="7"/>
        <v>5.2794707073409564</v>
      </c>
      <c r="M19" s="208">
        <f t="shared" si="8"/>
        <v>5.2055585113577951</v>
      </c>
      <c r="N19" s="208">
        <f t="shared" si="9"/>
        <v>4.6261249153985906</v>
      </c>
      <c r="Q19" s="64" t="s">
        <v>104</v>
      </c>
      <c r="R19" s="66">
        <f>'Statement of P &amp; L'!K19</f>
        <v>3.8695086199538403E-2</v>
      </c>
      <c r="S19" s="66">
        <f>'Statement of P &amp; L'!L19</f>
        <v>4.3479841878565066E-2</v>
      </c>
      <c r="T19" s="66">
        <f>'Statement of P &amp; L'!M19</f>
        <v>5.2794707073409566E-2</v>
      </c>
      <c r="U19" s="66">
        <f>'Statement of P &amp; L'!N19</f>
        <v>5.2055585113577954E-2</v>
      </c>
      <c r="V19" s="66">
        <f>'Statement of P &amp; L'!O19</f>
        <v>4.6261249153985905E-2</v>
      </c>
      <c r="X19" s="77" t="s">
        <v>117</v>
      </c>
      <c r="Y19" s="80">
        <f>'Statement of P &amp; L'!R19</f>
        <v>224088.56</v>
      </c>
      <c r="Z19" s="80">
        <f>'Statement of P &amp; L'!S19</f>
        <v>180588.73</v>
      </c>
      <c r="AA19" s="80">
        <f>'Statement of P &amp; L'!T19</f>
        <v>144042.43999999997</v>
      </c>
      <c r="AB19" s="80">
        <f>'Statement of P &amp; L'!U19</f>
        <v>148203.1</v>
      </c>
      <c r="AC19" s="80">
        <f>'Statement of P &amp; L'!V19</f>
        <v>146926.59000000003</v>
      </c>
    </row>
    <row r="20" spans="2:29" ht="15" customHeight="1" x14ac:dyDescent="0.3">
      <c r="B20" s="19" t="s">
        <v>48</v>
      </c>
      <c r="C20" s="35">
        <v>15119.24</v>
      </c>
      <c r="D20" s="86">
        <v>12521.45</v>
      </c>
      <c r="E20" s="86">
        <v>10069.969999999999</v>
      </c>
      <c r="F20" s="86">
        <v>11047.77</v>
      </c>
      <c r="G20" s="89">
        <v>9482.99</v>
      </c>
      <c r="I20" s="19" t="s">
        <v>48</v>
      </c>
      <c r="J20" s="208">
        <f t="shared" si="5"/>
        <v>12.853536787617273</v>
      </c>
      <c r="K20" s="208">
        <f t="shared" si="6"/>
        <v>13.083910294476148</v>
      </c>
      <c r="L20" s="208">
        <f>(E20/$D$5)*100</f>
        <v>10.522310447118022</v>
      </c>
      <c r="M20" s="208">
        <f>(F20/$D$5)*100</f>
        <v>11.544032970143613</v>
      </c>
      <c r="N20" s="208">
        <f t="shared" si="9"/>
        <v>12.283626024527122</v>
      </c>
      <c r="Q20" s="64" t="s">
        <v>105</v>
      </c>
      <c r="R20" s="66">
        <f>'Statement of P &amp; L'!K20</f>
        <v>0.12853536787617273</v>
      </c>
      <c r="S20" s="66">
        <f>'Statement of P &amp; L'!L20</f>
        <v>0.13083910294476148</v>
      </c>
      <c r="T20" s="66">
        <f>'Statement of P &amp; L'!M20</f>
        <v>0.13180966836614819</v>
      </c>
      <c r="U20" s="66">
        <f>'Statement of P &amp; L'!N20</f>
        <v>0.1423221354948335</v>
      </c>
      <c r="V20" s="66">
        <f>'Statement of P &amp; L'!O20</f>
        <v>0.12283626024527122</v>
      </c>
      <c r="X20" s="77" t="s">
        <v>118</v>
      </c>
      <c r="Y20" s="66">
        <f>'Statement of P &amp; L'!R20</f>
        <v>1.9050762800538787</v>
      </c>
      <c r="Z20" s="66">
        <f>'Statement of P &amp; L'!S20</f>
        <v>1.887007290300543</v>
      </c>
      <c r="AA20" s="66">
        <f>'Statement of P &amp; L'!T20</f>
        <v>1.8854262969056308</v>
      </c>
      <c r="AB20" s="66">
        <f>'Statement of P &amp; L'!U20</f>
        <v>1.9092162200113107</v>
      </c>
      <c r="AC20" s="66">
        <f>'Statement of P &amp; L'!V20</f>
        <v>1.9031880078108558</v>
      </c>
    </row>
    <row r="21" spans="2:29" ht="15" customHeight="1" x14ac:dyDescent="0.3">
      <c r="B21" s="44" t="s">
        <v>167</v>
      </c>
      <c r="C21" s="101">
        <v>106633.35</v>
      </c>
      <c r="D21" s="101">
        <v>84206.83</v>
      </c>
      <c r="E21" s="105">
        <v>67525.83</v>
      </c>
      <c r="F21" s="101">
        <v>71125</v>
      </c>
      <c r="G21" s="103">
        <v>70205.14</v>
      </c>
      <c r="I21" s="37" t="s">
        <v>167</v>
      </c>
      <c r="J21" s="226">
        <f t="shared" si="5"/>
        <v>90.653742318520543</v>
      </c>
      <c r="K21" s="226">
        <f t="shared" si="6"/>
        <v>87.989379017781715</v>
      </c>
      <c r="L21" s="226">
        <f>(E21/$E$5)*100</f>
        <v>88.387127850916144</v>
      </c>
      <c r="M21" s="226">
        <f>(F21/$F$5)*100</f>
        <v>91.626290980623523</v>
      </c>
      <c r="N21" s="226">
        <f t="shared" si="9"/>
        <v>90.939006026534884</v>
      </c>
      <c r="Q21" s="77" t="s">
        <v>106</v>
      </c>
      <c r="R21" s="78">
        <f>'Statement of P &amp; L'!K21</f>
        <v>0.90653742318520536</v>
      </c>
      <c r="S21" s="78">
        <f>'Statement of P &amp; L'!L21</f>
        <v>0.8798937901778171</v>
      </c>
      <c r="T21" s="78">
        <f>'Statement of P &amp; L'!M21</f>
        <v>0.88387127850916147</v>
      </c>
      <c r="U21" s="78">
        <f>'Statement of P &amp; L'!N21</f>
        <v>0.91626290980623526</v>
      </c>
      <c r="V21" s="78">
        <f>'Statement of P &amp; L'!O21</f>
        <v>0.90939006026534885</v>
      </c>
      <c r="X21" s="64"/>
      <c r="Y21" s="229"/>
      <c r="Z21" s="229"/>
      <c r="AA21" s="229"/>
      <c r="AB21" s="229"/>
      <c r="AC21" s="229"/>
    </row>
    <row r="22" spans="2:29" x14ac:dyDescent="0.3">
      <c r="B22" s="140"/>
      <c r="C22" s="223"/>
      <c r="D22" s="223"/>
      <c r="E22" s="224"/>
      <c r="F22" s="223"/>
      <c r="G22" s="225"/>
      <c r="I22" s="19" t="s">
        <v>51</v>
      </c>
      <c r="J22" s="208">
        <f>(C31/$C$5)*100</f>
        <v>2.9182650797758476</v>
      </c>
      <c r="K22" s="208">
        <f>(D31/$D$5)*100</f>
        <v>2.0421911423616419</v>
      </c>
      <c r="L22" s="208">
        <f>(E31/$E$5)*100</f>
        <v>2.564733203739741</v>
      </c>
      <c r="M22" s="208">
        <f>(F31/$F$5)*100</f>
        <v>2.0706962052222799</v>
      </c>
      <c r="N22" s="208">
        <f>(G31/$G$5)*100</f>
        <v>3.0303010676778896</v>
      </c>
      <c r="Q22" s="64"/>
      <c r="R22" s="229"/>
      <c r="S22" s="229"/>
      <c r="T22" s="229"/>
      <c r="U22" s="229"/>
      <c r="V22" s="229"/>
      <c r="X22" s="77" t="s">
        <v>119</v>
      </c>
      <c r="Y22" s="66">
        <f>'Statement of P &amp; L'!R22</f>
        <v>0.32605026087270494</v>
      </c>
      <c r="Z22" s="66">
        <f>'Statement of P &amp; L'!S22</f>
        <v>7.6828600960661533E-2</v>
      </c>
      <c r="AA22" s="66">
        <f>'Statement of P &amp; L'!T22</f>
        <v>0.15586347499866654</v>
      </c>
      <c r="AB22" s="66">
        <f>'Statement of P &amp; L'!U22</f>
        <v>0.1447567046250981</v>
      </c>
      <c r="AC22" s="66">
        <f>'Statement of P &amp; L'!V22</f>
        <v>0.30155497424164041</v>
      </c>
    </row>
    <row r="23" spans="2:29" ht="28.2" customHeight="1" x14ac:dyDescent="0.3">
      <c r="B23" s="40" t="s">
        <v>168</v>
      </c>
      <c r="C23" s="90">
        <v>14605.78</v>
      </c>
      <c r="D23" s="35">
        <v>12315.64</v>
      </c>
      <c r="E23" s="35">
        <v>9923.94</v>
      </c>
      <c r="F23" s="90">
        <v>7466.71</v>
      </c>
      <c r="G23" s="102">
        <v>7822.8</v>
      </c>
      <c r="I23" s="19" t="s">
        <v>50</v>
      </c>
      <c r="J23" s="208">
        <f>(C32/$C$5)*100</f>
        <v>0.18349516114826619</v>
      </c>
      <c r="K23" s="208">
        <f>(D32/$D$5)*100</f>
        <v>1.8902598119792315E-2</v>
      </c>
      <c r="L23" s="208">
        <f>(E32/$E$5)*100</f>
        <v>1.3911262639596607</v>
      </c>
      <c r="M23" s="208">
        <f>(F32/$F$5)*100</f>
        <v>2.1044610570549986</v>
      </c>
      <c r="N23" s="208">
        <f>(G32/$G$5)*100</f>
        <v>0.12283638977853049</v>
      </c>
      <c r="Q23" s="64"/>
      <c r="R23" s="229"/>
      <c r="S23" s="229"/>
      <c r="T23" s="229"/>
      <c r="U23" s="229"/>
      <c r="V23" s="229"/>
      <c r="X23" s="77"/>
      <c r="Y23" s="66"/>
      <c r="Z23" s="66"/>
      <c r="AA23" s="66"/>
      <c r="AB23" s="66"/>
      <c r="AC23" s="66"/>
    </row>
    <row r="24" spans="2:29" ht="16.2" customHeight="1" x14ac:dyDescent="0.3">
      <c r="B24" s="12" t="s">
        <v>169</v>
      </c>
      <c r="C24" s="52"/>
      <c r="D24" s="53"/>
      <c r="E24" s="47"/>
      <c r="F24" s="52"/>
      <c r="G24" s="108"/>
      <c r="I24" s="37" t="s">
        <v>159</v>
      </c>
      <c r="J24" s="216">
        <f>(C33/$C$5)*100</f>
        <v>3.1017602409241141</v>
      </c>
      <c r="K24" s="216">
        <f>(D33/$D$5)*100</f>
        <v>2.0232885442418493</v>
      </c>
      <c r="L24" s="216">
        <f>(E33/$E$5)*100</f>
        <v>3.9558594676994012</v>
      </c>
      <c r="M24" s="216">
        <f>(F33/$F$5)*100</f>
        <v>3.9484651227502443E-2</v>
      </c>
      <c r="N24" s="216">
        <f>(G33/$G$5)*100</f>
        <v>3.1330468489415511</v>
      </c>
      <c r="R24" s="63"/>
      <c r="S24" s="63"/>
      <c r="T24" s="63"/>
      <c r="U24" s="63"/>
      <c r="V24" s="63"/>
      <c r="Y24" s="63"/>
      <c r="Z24" s="63"/>
      <c r="AA24" s="63"/>
      <c r="AB24" s="63"/>
      <c r="AC24" s="63"/>
    </row>
    <row r="25" spans="2:29" x14ac:dyDescent="0.3">
      <c r="B25" s="8" t="s">
        <v>170</v>
      </c>
      <c r="C25" s="6">
        <v>208.96</v>
      </c>
      <c r="D25" s="19">
        <v>380.33</v>
      </c>
      <c r="E25">
        <v>189.22</v>
      </c>
      <c r="F25" s="19"/>
      <c r="G25" s="19"/>
      <c r="I25" s="45" t="s">
        <v>371</v>
      </c>
      <c r="J25" s="215">
        <f>(C34/$C$5)*100</f>
        <v>9.4180693765415242</v>
      </c>
      <c r="K25" s="215">
        <f>(D34/$D$5)*100</f>
        <v>11.170766740162836</v>
      </c>
      <c r="L25" s="215">
        <f>(E34/$E$5)*100</f>
        <v>8.8343370052099655</v>
      </c>
      <c r="M25" s="215">
        <f>(F34/$F$5)*100</f>
        <v>8.6022175816842736</v>
      </c>
      <c r="N25" s="215">
        <f>(G34/$G$5)*100</f>
        <v>3.5553511808575742</v>
      </c>
      <c r="Q25" s="64"/>
      <c r="R25" s="229"/>
      <c r="S25" s="229"/>
      <c r="T25" s="229"/>
      <c r="U25" s="229"/>
      <c r="V25" s="229"/>
      <c r="X25" s="77"/>
      <c r="Y25" s="66"/>
      <c r="Z25" s="66"/>
      <c r="AA25" s="66"/>
      <c r="AB25" s="66"/>
      <c r="AC25" s="66"/>
    </row>
    <row r="26" spans="2:29" ht="16.8" customHeight="1" x14ac:dyDescent="0.3">
      <c r="B26" s="12" t="s">
        <v>171</v>
      </c>
      <c r="C26" s="83">
        <v>14814.74</v>
      </c>
      <c r="D26" s="83">
        <v>12695.97</v>
      </c>
      <c r="E26" s="35">
        <v>10113.16</v>
      </c>
      <c r="F26" s="52"/>
      <c r="G26" s="108"/>
      <c r="I26" s="40" t="s">
        <v>42</v>
      </c>
      <c r="J26" s="40"/>
      <c r="K26" s="208"/>
      <c r="L26" s="208"/>
      <c r="M26" s="209"/>
      <c r="N26" s="208"/>
      <c r="Q26" s="64"/>
      <c r="R26" s="229"/>
      <c r="S26" s="229"/>
      <c r="T26" s="229"/>
      <c r="U26" s="229"/>
      <c r="V26" s="229"/>
      <c r="X26" s="64" t="s">
        <v>121</v>
      </c>
      <c r="Y26" s="229">
        <f>'Statement of P &amp; L'!R26</f>
        <v>313299.93000000005</v>
      </c>
      <c r="Z26" s="229">
        <f>'Statement of P &amp; L'!S26</f>
        <v>278225.57</v>
      </c>
      <c r="AA26" s="229">
        <f>'Statement of P &amp; L'!T26</f>
        <v>255736.05499999999</v>
      </c>
      <c r="AB26" s="229">
        <f>'Statement of P &amp; L'!U26</f>
        <v>242794.86499999999</v>
      </c>
      <c r="AC26" s="229">
        <f>'Statement of P &amp; L'!V26</f>
        <v>120586.965</v>
      </c>
    </row>
    <row r="27" spans="2:29" x14ac:dyDescent="0.3">
      <c r="B27" s="40" t="s">
        <v>158</v>
      </c>
      <c r="C27" s="19">
        <v>88.03</v>
      </c>
      <c r="D27" s="4">
        <v>69.11</v>
      </c>
      <c r="E27">
        <v>341.73</v>
      </c>
      <c r="F27" s="21"/>
      <c r="G27" s="29"/>
      <c r="I27" s="40" t="s">
        <v>366</v>
      </c>
      <c r="J27" s="227">
        <f>(C43/$C$5)*100</f>
        <v>2.928135255929162</v>
      </c>
      <c r="K27" s="227">
        <f>(D43/$D$5)*100</f>
        <v>3.5967809366514265</v>
      </c>
      <c r="L27" s="227">
        <f>(E43/$E$5)*100</f>
        <v>9.1451574331777312</v>
      </c>
      <c r="M27" s="227">
        <f>(F43/$F$5)*100</f>
        <v>7.1010407716060904</v>
      </c>
      <c r="N27" s="227">
        <f>(G43/$G$5)*100</f>
        <v>3.4837322417997347</v>
      </c>
      <c r="Q27" s="44" t="s">
        <v>107</v>
      </c>
      <c r="R27" s="79">
        <f>'Statement of P &amp; L'!K27</f>
        <v>0.12519829617465636</v>
      </c>
      <c r="S27" s="79">
        <f>'Statement of P &amp; L'!L27</f>
        <v>0.13194055284404688</v>
      </c>
      <c r="T27" s="79">
        <f>'Statement of P &amp; L'!M27</f>
        <v>0.12790196472909368</v>
      </c>
      <c r="U27" s="79">
        <f>'Statement of P &amp; L'!N27</f>
        <v>7.2427603957998122E-3</v>
      </c>
      <c r="V27" s="79">
        <f>'Statement of P &amp; L'!O27</f>
        <v>3.7642365147781253E-4</v>
      </c>
      <c r="X27" s="77" t="s">
        <v>120</v>
      </c>
      <c r="Y27" s="66">
        <f>'Statement of P &amp; L'!R27</f>
        <v>3.5359727019409162E-2</v>
      </c>
      <c r="Z27" s="66">
        <f>'Statement of P &amp; L'!S27</f>
        <v>3.8424038451965431E-2</v>
      </c>
      <c r="AA27" s="66">
        <f>'Statement of P &amp; L'!T27</f>
        <v>2.6391429241371538E-2</v>
      </c>
      <c r="AB27" s="66">
        <f>'Statement of P &amp; L'!U27</f>
        <v>2.7502558589943819E-2</v>
      </c>
      <c r="AC27" s="66">
        <f>'Statement of P &amp; L'!V27</f>
        <v>2.2761498309539507E-2</v>
      </c>
    </row>
    <row r="28" spans="2:29" ht="29.4" customHeight="1" x14ac:dyDescent="0.3">
      <c r="B28" s="12" t="s">
        <v>295</v>
      </c>
      <c r="C28" s="91">
        <v>14726.71</v>
      </c>
      <c r="D28" s="91">
        <v>12626.86</v>
      </c>
      <c r="E28" s="121">
        <v>9771.43</v>
      </c>
      <c r="F28" s="64">
        <v>562.22</v>
      </c>
      <c r="G28" s="120">
        <v>29.06</v>
      </c>
      <c r="I28" s="39" t="s">
        <v>373</v>
      </c>
      <c r="J28" s="208">
        <f>(C44/$C$5)*100</f>
        <v>0.32972849449293479</v>
      </c>
      <c r="K28" s="208">
        <f t="shared" ref="K28:N28" si="10">(D44/$C$5)*100</f>
        <v>0.18853651727136303</v>
      </c>
      <c r="L28" s="208">
        <f t="shared" si="10"/>
        <v>0.32906538188315138</v>
      </c>
      <c r="M28" s="208">
        <f t="shared" si="10"/>
        <v>0.31763094008624543</v>
      </c>
      <c r="N28" s="208">
        <f t="shared" si="10"/>
        <v>2.6405484179323334E-2</v>
      </c>
      <c r="Q28" s="64"/>
      <c r="R28" s="229"/>
      <c r="S28" s="229"/>
      <c r="T28" s="229"/>
      <c r="U28" s="229"/>
      <c r="V28" s="229"/>
      <c r="X28" s="64" t="s">
        <v>123</v>
      </c>
      <c r="Y28" s="229">
        <f>'Statement of P &amp; L'!R28</f>
        <v>119543.76500000001</v>
      </c>
      <c r="Z28" s="229">
        <f>'Statement of P &amp; L'!S28</f>
        <v>109368.155</v>
      </c>
      <c r="AA28" s="229">
        <f>'Statement of P &amp; L'!T28</f>
        <v>96774.675000000003</v>
      </c>
      <c r="AB28" s="229">
        <f>'Statement of P &amp; L'!U28</f>
        <v>89754.925000000003</v>
      </c>
      <c r="AC28" s="229">
        <f>'Statement of P &amp; L'!V28</f>
        <v>44261.05</v>
      </c>
    </row>
    <row r="29" spans="2:29" x14ac:dyDescent="0.3">
      <c r="B29" s="40" t="s">
        <v>49</v>
      </c>
      <c r="C29" s="40"/>
      <c r="D29" s="59"/>
      <c r="E29" s="20"/>
      <c r="F29" s="9"/>
      <c r="G29" s="20"/>
      <c r="I29" s="19" t="s">
        <v>374</v>
      </c>
      <c r="J29" s="208">
        <f>(C45/$C$5)*100</f>
        <v>0.1547602813909858</v>
      </c>
      <c r="K29" s="208">
        <f>(D45/$D$5)*100</f>
        <v>6.6749473073097462E-2</v>
      </c>
      <c r="L29" s="208">
        <f>(E45/$E$5)*100</f>
        <v>0.21405063836253943</v>
      </c>
      <c r="M29" s="208">
        <f>(F45/$F$5)*100</f>
        <v>0.18747801935198793</v>
      </c>
      <c r="N29" s="208">
        <f>(G45/$G$5)*100</f>
        <v>0.10023283603356205</v>
      </c>
      <c r="O29" s="208"/>
      <c r="Q29" s="64"/>
      <c r="R29" s="229"/>
      <c r="S29" s="229"/>
      <c r="T29" s="229"/>
      <c r="U29" s="229"/>
      <c r="V29" s="229"/>
      <c r="X29" s="64"/>
      <c r="Y29" s="229"/>
      <c r="Z29" s="229"/>
      <c r="AA29" s="229"/>
      <c r="AB29" s="229"/>
      <c r="AC29" s="229"/>
    </row>
    <row r="30" spans="2:29" x14ac:dyDescent="0.3">
      <c r="B30" s="8" t="s">
        <v>172</v>
      </c>
      <c r="C30" s="40"/>
      <c r="D30" s="59"/>
      <c r="E30" s="20"/>
      <c r="F30" s="9"/>
      <c r="G30" s="20"/>
      <c r="I30" s="8" t="s">
        <v>375</v>
      </c>
      <c r="J30" s="208">
        <f>(C46/$C$5)*100</f>
        <v>4.9044828792825595E-2</v>
      </c>
      <c r="K30" s="208">
        <f>(D46/$D$5)*100</f>
        <v>3.6258715022487193E-3</v>
      </c>
      <c r="L30" s="208">
        <f>(E46/$E$5)*100</f>
        <v>2.4542588328120927E-2</v>
      </c>
      <c r="M30" s="208">
        <f>(F46/$F$5)*100</f>
        <v>1.1542658238121433E-2</v>
      </c>
      <c r="N30" s="208">
        <f>(G46/$G$5)*100</f>
        <v>2.1541381018843848E-2</v>
      </c>
      <c r="Q30" s="64"/>
      <c r="R30" s="229"/>
      <c r="S30" s="229"/>
      <c r="T30" s="229"/>
      <c r="U30" s="229"/>
      <c r="V30" s="229"/>
      <c r="X30" s="77" t="s">
        <v>122</v>
      </c>
      <c r="Y30" s="66">
        <f>'Statement of P &amp; L'!R30</f>
        <v>9.2670663334051759E-2</v>
      </c>
      <c r="Z30" s="66">
        <f>'Statement of P &amp; L'!S30</f>
        <v>9.7748288795765081E-2</v>
      </c>
      <c r="AA30" s="66">
        <f>'Statement of P &amp; L'!T30</f>
        <v>6.974179970121315E-2</v>
      </c>
      <c r="AB30" s="66">
        <f>'Statement of P &amp; L'!U30</f>
        <v>7.4396808865920164E-2</v>
      </c>
      <c r="AC30" s="66">
        <f>'Statement of P &amp; L'!V30</f>
        <v>6.2012536982290291E-2</v>
      </c>
    </row>
    <row r="31" spans="2:29" x14ac:dyDescent="0.3">
      <c r="B31" s="19" t="s">
        <v>51</v>
      </c>
      <c r="C31" s="83">
        <v>3432.67</v>
      </c>
      <c r="D31" s="51">
        <v>1954.4</v>
      </c>
      <c r="E31" s="83">
        <v>1959.4</v>
      </c>
      <c r="F31" s="35">
        <v>1607.38</v>
      </c>
      <c r="G31" s="83">
        <v>2339.4</v>
      </c>
      <c r="I31" s="217" t="s">
        <v>372</v>
      </c>
      <c r="J31" s="216">
        <f>(C48/$C$5)*100</f>
        <v>6.7139471625071376</v>
      </c>
      <c r="K31" s="216">
        <f>(D48/$D$5)*100</f>
        <v>15.137846334729799</v>
      </c>
      <c r="L31" s="216">
        <f>(E48/$E$5)*100</f>
        <v>15.481621789943981</v>
      </c>
      <c r="M31" s="216">
        <f>(F48/$F$5)*100</f>
        <v>2.1584255608044303</v>
      </c>
      <c r="N31" s="216">
        <f>(G48/$G$5)*100</f>
        <v>4.7305546290329376E-2</v>
      </c>
      <c r="Q31" s="64"/>
      <c r="R31" s="229"/>
      <c r="S31" s="229"/>
      <c r="T31" s="229"/>
      <c r="U31" s="229"/>
      <c r="V31" s="229"/>
      <c r="X31" s="64"/>
      <c r="Y31" s="229"/>
      <c r="Z31" s="229"/>
      <c r="AA31" s="229"/>
      <c r="AB31" s="229"/>
      <c r="AC31" s="229"/>
    </row>
    <row r="32" spans="2:29" ht="28.8" x14ac:dyDescent="0.3">
      <c r="B32" s="19" t="s">
        <v>50</v>
      </c>
      <c r="C32" s="19">
        <v>215.84</v>
      </c>
      <c r="D32" s="124">
        <v>18.09</v>
      </c>
      <c r="E32" s="86">
        <v>1062.79</v>
      </c>
      <c r="F32" s="86">
        <v>1633.59</v>
      </c>
      <c r="G32" s="4">
        <v>94.83</v>
      </c>
      <c r="I32" s="41" t="s">
        <v>367</v>
      </c>
      <c r="J32" s="228">
        <f>(C66/$C$5)*100</f>
        <v>8.8398011750355443E-2</v>
      </c>
      <c r="K32" s="228">
        <f>(D66/$D$5)*100</f>
        <v>0.11301851921706671</v>
      </c>
      <c r="L32" s="228">
        <f>(E66/$E$5)*100</f>
        <v>8.230602421718633E-2</v>
      </c>
      <c r="M32" s="228">
        <f>(F66/$F$5)*100</f>
        <v>8.6853350269436039E-2</v>
      </c>
      <c r="N32" s="228">
        <f>(G66/$G$5)*100</f>
        <v>3.3367767591426192E-2</v>
      </c>
      <c r="Q32" s="64" t="s">
        <v>108</v>
      </c>
      <c r="R32" s="66">
        <f>'Statement of P &amp; L'!K32</f>
        <v>3.1017602409241139E-2</v>
      </c>
      <c r="S32" s="66">
        <f>'Statement of P &amp; L'!L32</f>
        <v>2.0232885442418493E-2</v>
      </c>
      <c r="T32" s="66">
        <f>'Statement of P &amp; L'!M32</f>
        <v>3.9558594676994012E-2</v>
      </c>
      <c r="U32" s="66">
        <f>'Statement of P &amp; L'!N32</f>
        <v>3.948465122750244E-4</v>
      </c>
      <c r="V32" s="66">
        <f>'Statement of P &amp; L'!O32</f>
        <v>3.1330468489415508E-2</v>
      </c>
      <c r="X32" s="77" t="s">
        <v>124</v>
      </c>
      <c r="Y32" s="81">
        <f>'Statement of P &amp; L'!R32</f>
        <v>15.702058088093864</v>
      </c>
      <c r="Z32" s="81">
        <f>'Statement of P &amp; L'!S32</f>
        <v>14.472082101234998</v>
      </c>
      <c r="AA32" s="81">
        <f>'Statement of P &amp; L'!T32</f>
        <v>22.122159524172641</v>
      </c>
      <c r="AB32" s="81">
        <f>'Statement of P &amp; L'!U32</f>
        <v>7.061702758825275</v>
      </c>
      <c r="AC32" s="81">
        <f>'Statement of P &amp; L'!V32</f>
        <v>32.226319875776397</v>
      </c>
    </row>
    <row r="33" spans="2:29" x14ac:dyDescent="0.3">
      <c r="B33" s="37" t="s">
        <v>159</v>
      </c>
      <c r="C33" s="101">
        <v>3648.51</v>
      </c>
      <c r="D33" s="103">
        <v>1936.31</v>
      </c>
      <c r="E33" s="48">
        <v>3022.19</v>
      </c>
      <c r="F33" s="104">
        <v>30.65</v>
      </c>
      <c r="G33" s="101">
        <v>2418.7199999999998</v>
      </c>
      <c r="I33" s="218" t="s">
        <v>368</v>
      </c>
      <c r="J33" s="219"/>
      <c r="K33" s="220"/>
      <c r="L33" s="221"/>
      <c r="M33" s="222"/>
      <c r="N33" s="221"/>
      <c r="Q33" s="44" t="s">
        <v>109</v>
      </c>
      <c r="R33" s="79">
        <f>'Statement of P &amp; L'!K33</f>
        <v>9.4180693765415241E-2</v>
      </c>
      <c r="S33" s="79">
        <f>'Statement of P &amp; L'!L33</f>
        <v>0.11170766740162837</v>
      </c>
      <c r="T33" s="79">
        <f>'Statement of P &amp; L'!M33</f>
        <v>8.8343370052099662E-2</v>
      </c>
      <c r="U33" s="79">
        <f>'Statement of P &amp; L'!N33</f>
        <v>8.6022175816842739E-2</v>
      </c>
      <c r="V33" s="79">
        <f>'Statement of P &amp; L'!O33</f>
        <v>3.5553511808575744E-2</v>
      </c>
      <c r="X33" s="77" t="s">
        <v>125</v>
      </c>
      <c r="Y33" s="81">
        <f>'Statement of P &amp; L'!R33</f>
        <v>0.91387942300361447</v>
      </c>
      <c r="Z33" s="81">
        <f>'Statement of P &amp; L'!S33</f>
        <v>1.1447906623464112</v>
      </c>
      <c r="AA33" s="81">
        <f>'Statement of P &amp; L'!T33</f>
        <v>1.2500909646493794</v>
      </c>
      <c r="AB33" s="81">
        <f>'Statement of P &amp; L'!U33</f>
        <v>0.40381814645005287</v>
      </c>
      <c r="AC33" s="81">
        <f>'Statement of P &amp; L'!V33</f>
        <v>0.70799091971852424</v>
      </c>
    </row>
    <row r="34" spans="2:29" x14ac:dyDescent="0.3">
      <c r="B34" s="45" t="s">
        <v>296</v>
      </c>
      <c r="C34" s="98">
        <v>11078.2</v>
      </c>
      <c r="D34" s="89">
        <v>10690.55</v>
      </c>
      <c r="E34" s="121">
        <v>6749.24</v>
      </c>
      <c r="F34" s="92">
        <v>6677.48</v>
      </c>
      <c r="G34" s="121">
        <v>2744.74</v>
      </c>
      <c r="I34" s="39" t="s">
        <v>369</v>
      </c>
      <c r="J34" s="39"/>
      <c r="K34" s="39"/>
      <c r="L34" s="19"/>
      <c r="M34" s="8"/>
      <c r="N34" s="19"/>
      <c r="Q34" s="77"/>
      <c r="R34" s="110"/>
      <c r="S34" s="110"/>
      <c r="T34" s="110"/>
      <c r="U34" s="110"/>
      <c r="V34" s="110"/>
      <c r="X34" s="77"/>
      <c r="Y34" s="81"/>
      <c r="Z34" s="81"/>
      <c r="AA34" s="81"/>
      <c r="AB34" s="81"/>
      <c r="AC34" s="81"/>
    </row>
    <row r="35" spans="2:29" ht="28.8" x14ac:dyDescent="0.3">
      <c r="B35" s="113" t="s">
        <v>173</v>
      </c>
      <c r="C35" s="106"/>
      <c r="D35" s="107"/>
      <c r="E35" s="106"/>
      <c r="F35" s="126"/>
      <c r="G35" s="128"/>
      <c r="I35" s="42" t="s">
        <v>370</v>
      </c>
      <c r="J35" s="42"/>
      <c r="K35" s="42"/>
      <c r="L35" s="4"/>
      <c r="M35" s="155"/>
      <c r="N35" s="4"/>
      <c r="Q35" s="77"/>
      <c r="R35" s="110"/>
      <c r="S35" s="110"/>
      <c r="T35" s="110"/>
      <c r="U35" s="110"/>
      <c r="V35" s="110"/>
      <c r="X35" s="77"/>
      <c r="Y35" s="81"/>
      <c r="Z35" s="81"/>
      <c r="AA35" s="81"/>
      <c r="AB35" s="81"/>
      <c r="AC35" s="81"/>
    </row>
    <row r="36" spans="2:29" x14ac:dyDescent="0.3">
      <c r="B36" s="109" t="s">
        <v>174</v>
      </c>
      <c r="C36" s="106"/>
      <c r="D36" s="19">
        <v>352.52</v>
      </c>
      <c r="E36" s="19">
        <v>162.79</v>
      </c>
      <c r="F36" s="125">
        <v>90.03</v>
      </c>
      <c r="G36" s="19">
        <v>54.94</v>
      </c>
      <c r="Q36" s="77"/>
      <c r="R36" s="110"/>
      <c r="S36" s="110"/>
      <c r="T36" s="110"/>
      <c r="U36" s="110"/>
      <c r="V36" s="110"/>
      <c r="X36" s="77"/>
      <c r="Y36" s="81"/>
      <c r="Z36" s="81"/>
      <c r="AA36" s="81"/>
      <c r="AB36" s="81"/>
      <c r="AC36" s="81"/>
    </row>
    <row r="37" spans="2:29" x14ac:dyDescent="0.3">
      <c r="B37" s="109" t="s">
        <v>175</v>
      </c>
      <c r="C37" s="106"/>
      <c r="D37" s="19">
        <v>670.71</v>
      </c>
      <c r="E37" s="19">
        <v>166.5</v>
      </c>
      <c r="F37" s="6">
        <v>36.630000000000003</v>
      </c>
      <c r="G37" s="122">
        <v>15.31</v>
      </c>
      <c r="Q37" s="77"/>
      <c r="R37" s="110"/>
      <c r="S37" s="110"/>
      <c r="T37" s="110"/>
      <c r="U37" s="110"/>
      <c r="V37" s="110"/>
      <c r="X37" s="77"/>
      <c r="Y37" s="81"/>
      <c r="Z37" s="81"/>
      <c r="AA37" s="81"/>
      <c r="AB37" s="81"/>
      <c r="AC37" s="81"/>
    </row>
    <row r="38" spans="2:29" x14ac:dyDescent="0.3">
      <c r="B38" s="109" t="s">
        <v>176</v>
      </c>
      <c r="C38" s="106"/>
      <c r="D38" s="19">
        <v>440.07</v>
      </c>
      <c r="E38" s="122">
        <v>66.099999999999994</v>
      </c>
      <c r="F38" s="126"/>
      <c r="G38" s="106"/>
      <c r="Q38" s="77"/>
      <c r="R38" s="110"/>
      <c r="S38" s="110"/>
      <c r="T38" s="110"/>
      <c r="U38" s="110"/>
      <c r="V38" s="110"/>
      <c r="X38" s="77"/>
      <c r="Y38" s="81"/>
      <c r="Z38" s="81"/>
      <c r="AA38" s="81"/>
      <c r="AB38" s="81"/>
      <c r="AC38" s="81"/>
    </row>
    <row r="39" spans="2:29" x14ac:dyDescent="0.3">
      <c r="B39" s="109" t="s">
        <v>177</v>
      </c>
      <c r="C39" s="106"/>
      <c r="D39" s="19">
        <v>67.42</v>
      </c>
      <c r="E39" s="19">
        <v>25.73</v>
      </c>
      <c r="F39" s="6">
        <v>53.4</v>
      </c>
      <c r="G39" s="19">
        <v>39.630000000000003</v>
      </c>
      <c r="Q39" s="77"/>
      <c r="R39" s="110"/>
      <c r="S39" s="110"/>
      <c r="T39" s="110"/>
      <c r="U39" s="110"/>
      <c r="V39" s="110"/>
      <c r="X39" s="77"/>
      <c r="Y39" s="81"/>
      <c r="Z39" s="81"/>
      <c r="AA39" s="81"/>
      <c r="AB39" s="81"/>
      <c r="AC39" s="81"/>
    </row>
    <row r="40" spans="2:29" x14ac:dyDescent="0.3">
      <c r="B40" s="40" t="s">
        <v>178</v>
      </c>
      <c r="C40" s="106"/>
      <c r="D40" s="19">
        <v>515.74</v>
      </c>
      <c r="E40" s="19">
        <v>237.46</v>
      </c>
      <c r="F40" s="126"/>
      <c r="G40" s="106"/>
      <c r="Q40" s="77"/>
      <c r="R40" s="110"/>
      <c r="S40" s="110"/>
      <c r="T40" s="110"/>
      <c r="U40" s="110"/>
      <c r="V40" s="110"/>
      <c r="X40" s="77"/>
      <c r="Y40" s="81"/>
      <c r="Z40" s="81"/>
      <c r="AA40" s="81"/>
      <c r="AB40" s="81"/>
      <c r="AC40" s="81"/>
    </row>
    <row r="41" spans="2:29" x14ac:dyDescent="0.3">
      <c r="B41" s="40" t="s">
        <v>179</v>
      </c>
      <c r="C41" s="43">
        <v>11078.2</v>
      </c>
      <c r="D41" s="123">
        <v>11206.29</v>
      </c>
      <c r="E41" s="43">
        <v>6986.7</v>
      </c>
      <c r="F41" s="127">
        <v>6677.48</v>
      </c>
      <c r="G41" s="123">
        <v>2744.74</v>
      </c>
      <c r="Q41" s="64" t="s">
        <v>110</v>
      </c>
      <c r="R41" s="92">
        <f>'Statement of P &amp; L'!K41</f>
        <v>19450.169999999998</v>
      </c>
      <c r="S41" s="92">
        <f>'Statement of P &amp; L'!L41</f>
        <v>16107.16</v>
      </c>
      <c r="T41" s="92">
        <f>'Statement of P &amp; L'!M41</f>
        <v>13686.03</v>
      </c>
      <c r="U41" s="92">
        <f>'Statement of P &amp; L'!N41</f>
        <v>5150.04</v>
      </c>
      <c r="V41" s="92">
        <f>'Statement of P &amp; L'!O41</f>
        <v>4079.24</v>
      </c>
      <c r="X41" s="64"/>
      <c r="Y41" s="229"/>
      <c r="Z41" s="229"/>
      <c r="AA41" s="229"/>
      <c r="AB41" s="229"/>
      <c r="AC41" s="229"/>
    </row>
    <row r="42" spans="2:29" x14ac:dyDescent="0.3">
      <c r="B42" s="40" t="s">
        <v>42</v>
      </c>
      <c r="C42" s="40"/>
      <c r="D42" s="51"/>
      <c r="E42" s="20"/>
      <c r="F42" s="29"/>
      <c r="G42" s="20"/>
      <c r="Q42" s="64" t="s">
        <v>111</v>
      </c>
      <c r="R42" s="81">
        <f>'Statement of P &amp; L'!K42</f>
        <v>0.16535452550552132</v>
      </c>
      <c r="S42" s="81">
        <f>'Statement of P &amp; L'!L42</f>
        <v>0.16830689459988613</v>
      </c>
      <c r="T42" s="81">
        <f>'Statement of P &amp; L'!M42</f>
        <v>0.17914165340603352</v>
      </c>
      <c r="U42" s="81">
        <f>'Statement of P &amp; L'!N42</f>
        <v>6.6345035304302344E-2</v>
      </c>
      <c r="V42" s="81">
        <f>'Statement of P &amp; L'!O42</f>
        <v>5.283972525995706E-2</v>
      </c>
      <c r="X42" s="77" t="s">
        <v>126</v>
      </c>
      <c r="Y42" s="81">
        <f>'Statement of P &amp; L'!R42</f>
        <v>1786.5595382746051</v>
      </c>
      <c r="Z42" s="81">
        <f>'Statement of P &amp; L'!S42</f>
        <v>1453.5408566221142</v>
      </c>
      <c r="AA42" s="81">
        <f>'Statement of P &amp; L'!T42</f>
        <v>1160.3555589307412</v>
      </c>
      <c r="AB42" s="81">
        <f>'Statement of P &amp; L'!U42</f>
        <v>1178.9960510328069</v>
      </c>
      <c r="AC42" s="81">
        <f>'Statement of P &amp; L'!V42</f>
        <v>1172.5432867557715</v>
      </c>
    </row>
    <row r="43" spans="2:29" x14ac:dyDescent="0.3">
      <c r="B43" s="19" t="s">
        <v>180</v>
      </c>
      <c r="C43" s="82">
        <v>3444.28</v>
      </c>
      <c r="D43" s="83">
        <v>3442.16</v>
      </c>
      <c r="E43" s="83">
        <v>6986.7</v>
      </c>
      <c r="F43" s="82">
        <v>5512.19</v>
      </c>
      <c r="G43" s="20">
        <v>2689.45</v>
      </c>
      <c r="Q43" s="64"/>
      <c r="R43" s="64"/>
      <c r="S43" s="64"/>
      <c r="T43" s="64"/>
      <c r="U43" s="64"/>
      <c r="V43" s="64"/>
      <c r="X43" s="64"/>
      <c r="Y43" s="64"/>
      <c r="Z43" s="64"/>
      <c r="AA43" s="64"/>
      <c r="AB43" s="64"/>
      <c r="AC43" s="64"/>
    </row>
    <row r="44" spans="2:29" x14ac:dyDescent="0.3">
      <c r="B44" s="39" t="s">
        <v>181</v>
      </c>
      <c r="C44" s="6">
        <v>387.85</v>
      </c>
      <c r="D44" s="19">
        <v>221.77</v>
      </c>
      <c r="E44" s="19">
        <v>387.07</v>
      </c>
      <c r="F44" s="6">
        <v>373.62</v>
      </c>
      <c r="G44" s="83">
        <v>31.06</v>
      </c>
      <c r="Q44" s="64"/>
      <c r="R44" s="64"/>
      <c r="S44" s="64"/>
      <c r="T44" s="64"/>
      <c r="U44" s="64"/>
      <c r="V44" s="64"/>
      <c r="X44" s="64"/>
      <c r="Y44" s="64"/>
      <c r="Z44" s="64"/>
      <c r="AA44" s="64"/>
      <c r="AB44" s="64"/>
      <c r="AC44" s="64"/>
    </row>
    <row r="45" spans="2:29" x14ac:dyDescent="0.3">
      <c r="B45" s="19" t="s">
        <v>182</v>
      </c>
      <c r="C45" s="6">
        <v>182.04</v>
      </c>
      <c r="D45" s="19">
        <v>63.88</v>
      </c>
      <c r="E45" s="19">
        <v>163.53</v>
      </c>
      <c r="F45" s="6">
        <v>145.53</v>
      </c>
      <c r="G45" s="19">
        <v>77.38</v>
      </c>
      <c r="Q45" s="64"/>
      <c r="R45" s="64"/>
      <c r="S45" s="64"/>
      <c r="T45" s="64"/>
      <c r="U45" s="64"/>
      <c r="V45" s="64"/>
      <c r="X45" s="64"/>
      <c r="Y45" s="64"/>
      <c r="Z45" s="64"/>
      <c r="AA45" s="64"/>
      <c r="AB45" s="64"/>
      <c r="AC45" s="64"/>
    </row>
    <row r="46" spans="2:29" x14ac:dyDescent="0.3">
      <c r="B46" s="8" t="s">
        <v>183</v>
      </c>
      <c r="C46" s="6">
        <v>57.69</v>
      </c>
      <c r="D46" s="19">
        <v>3.47</v>
      </c>
      <c r="E46" s="19">
        <v>18.75</v>
      </c>
      <c r="F46" s="6">
        <v>8.9600000000000009</v>
      </c>
      <c r="G46" s="83">
        <v>16.63</v>
      </c>
      <c r="Q46" s="64"/>
      <c r="R46" s="64"/>
      <c r="S46" s="64"/>
      <c r="T46" s="64"/>
      <c r="U46" s="64"/>
      <c r="V46" s="64"/>
      <c r="X46" s="64"/>
      <c r="Y46" s="64"/>
      <c r="Z46" s="64"/>
      <c r="AA46" s="64"/>
      <c r="AB46" s="64"/>
      <c r="AC46" s="64"/>
    </row>
    <row r="47" spans="2:29" x14ac:dyDescent="0.3">
      <c r="B47" s="12" t="s">
        <v>184</v>
      </c>
      <c r="C47" s="82">
        <v>3180.78</v>
      </c>
      <c r="D47" s="86">
        <v>3280.8</v>
      </c>
      <c r="E47" s="83">
        <v>4840.92</v>
      </c>
      <c r="F47" s="82">
        <v>5002</v>
      </c>
      <c r="G47" s="83">
        <v>2781.26</v>
      </c>
      <c r="Q47" s="64"/>
      <c r="R47" s="64"/>
      <c r="S47" s="64"/>
      <c r="T47" s="64"/>
      <c r="U47" s="64"/>
      <c r="V47" s="64"/>
      <c r="X47" s="64"/>
      <c r="Y47" s="64"/>
      <c r="Z47" s="64"/>
      <c r="AA47" s="64"/>
      <c r="AB47" s="64"/>
      <c r="AC47" s="64"/>
    </row>
    <row r="48" spans="2:29" x14ac:dyDescent="0.3">
      <c r="B48" s="111" t="s">
        <v>185</v>
      </c>
      <c r="C48" s="92">
        <v>7897.42</v>
      </c>
      <c r="D48" s="91">
        <v>14487.09</v>
      </c>
      <c r="E48" s="92">
        <v>11827.62</v>
      </c>
      <c r="F48" s="91">
        <v>1675.48</v>
      </c>
      <c r="G48" s="92">
        <v>36.520000000000003</v>
      </c>
      <c r="Q48" s="64"/>
      <c r="R48" s="64"/>
      <c r="S48" s="64"/>
      <c r="T48" s="64"/>
      <c r="U48" s="64"/>
      <c r="V48" s="64"/>
      <c r="X48" s="64"/>
      <c r="Y48" s="64"/>
      <c r="Z48" s="64"/>
      <c r="AA48" s="64"/>
      <c r="AB48" s="64"/>
      <c r="AC48" s="64"/>
    </row>
    <row r="49" spans="2:29" x14ac:dyDescent="0.3">
      <c r="B49" s="113" t="s">
        <v>186</v>
      </c>
      <c r="C49" s="41"/>
      <c r="D49" s="60"/>
      <c r="E49" s="43"/>
      <c r="F49" s="99"/>
      <c r="G49" s="43"/>
      <c r="Q49" s="64"/>
      <c r="R49" s="64"/>
      <c r="S49" s="64"/>
      <c r="T49" s="64"/>
      <c r="U49" s="64"/>
      <c r="V49" s="64"/>
      <c r="X49" s="64"/>
      <c r="Y49" s="64"/>
      <c r="Z49" s="64"/>
      <c r="AA49" s="64"/>
      <c r="AB49" s="64"/>
      <c r="AC49" s="64"/>
    </row>
    <row r="50" spans="2:29" x14ac:dyDescent="0.3">
      <c r="B50" s="112" t="s">
        <v>187</v>
      </c>
      <c r="C50" s="83">
        <v>6827.26</v>
      </c>
      <c r="D50" s="35">
        <v>7102.37</v>
      </c>
      <c r="E50" s="35">
        <v>4128.41</v>
      </c>
      <c r="F50" s="82">
        <v>4425.1899999999996</v>
      </c>
      <c r="G50" s="83">
        <v>1692.99</v>
      </c>
      <c r="Q50" s="64"/>
      <c r="R50" s="64"/>
      <c r="S50" s="64"/>
      <c r="T50" s="64"/>
      <c r="U50" s="64"/>
      <c r="V50" s="64"/>
      <c r="X50" s="64"/>
      <c r="Y50" s="64"/>
      <c r="Z50" s="64"/>
      <c r="AA50" s="64"/>
      <c r="AB50" s="64"/>
      <c r="AC50" s="64"/>
    </row>
    <row r="51" spans="2:29" x14ac:dyDescent="0.3">
      <c r="B51" s="112" t="s">
        <v>188</v>
      </c>
      <c r="C51" s="83">
        <v>4250.9399999999996</v>
      </c>
      <c r="D51" s="35">
        <v>3588.18</v>
      </c>
      <c r="E51" s="83">
        <v>2620.83</v>
      </c>
      <c r="F51" s="89">
        <v>2252.29</v>
      </c>
      <c r="G51" s="82">
        <v>1051.75</v>
      </c>
      <c r="Q51" s="64"/>
      <c r="R51" s="64"/>
      <c r="S51" s="64"/>
      <c r="T51" s="64"/>
      <c r="U51" s="64"/>
      <c r="V51" s="64"/>
      <c r="X51" s="64"/>
      <c r="Y51" s="64"/>
      <c r="Z51" s="64"/>
      <c r="AA51" s="64"/>
      <c r="AB51" s="64"/>
      <c r="AC51" s="64"/>
    </row>
    <row r="52" spans="2:29" x14ac:dyDescent="0.3">
      <c r="B52" s="112"/>
      <c r="C52" s="115">
        <v>11078.2</v>
      </c>
      <c r="D52" s="116">
        <v>10690.55</v>
      </c>
      <c r="E52" s="94">
        <v>6749.24</v>
      </c>
      <c r="F52" s="116">
        <v>6677.48</v>
      </c>
      <c r="G52" s="94">
        <v>2744.74</v>
      </c>
      <c r="Q52" s="64"/>
      <c r="R52" s="64"/>
      <c r="S52" s="64"/>
      <c r="T52" s="64"/>
      <c r="U52" s="64"/>
      <c r="V52" s="64"/>
      <c r="X52" s="64"/>
      <c r="Y52" s="64"/>
      <c r="Z52" s="64"/>
      <c r="AA52" s="64"/>
      <c r="AB52" s="64"/>
      <c r="AC52" s="64"/>
    </row>
    <row r="53" spans="2:29" x14ac:dyDescent="0.3">
      <c r="B53" s="40" t="s">
        <v>189</v>
      </c>
      <c r="C53" s="39"/>
      <c r="D53" s="59"/>
      <c r="E53" s="19"/>
      <c r="G53" s="19"/>
      <c r="Q53" s="64"/>
      <c r="R53" s="64"/>
      <c r="S53" s="64"/>
      <c r="T53" s="64"/>
      <c r="U53" s="64"/>
      <c r="V53" s="64"/>
      <c r="X53" s="64"/>
      <c r="Y53" s="64"/>
      <c r="Z53" s="64"/>
      <c r="AA53" s="64"/>
      <c r="AB53" s="64"/>
      <c r="AC53" s="64"/>
    </row>
    <row r="54" spans="2:29" x14ac:dyDescent="0.3">
      <c r="B54" s="19" t="s">
        <v>187</v>
      </c>
      <c r="C54" s="83">
        <v>6827.26</v>
      </c>
      <c r="D54" s="83">
        <v>7549.78</v>
      </c>
      <c r="E54" s="83">
        <v>4304.82</v>
      </c>
      <c r="F54" s="83">
        <v>4425.1899999999996</v>
      </c>
      <c r="G54" s="83">
        <v>1692.99</v>
      </c>
      <c r="Q54" s="64"/>
      <c r="R54" s="64"/>
      <c r="S54" s="64"/>
      <c r="T54" s="64"/>
      <c r="U54" s="64"/>
      <c r="V54" s="64"/>
      <c r="X54" s="64"/>
      <c r="Y54" s="64"/>
      <c r="Z54" s="64"/>
      <c r="AA54" s="64"/>
      <c r="AB54" s="64"/>
      <c r="AC54" s="64"/>
    </row>
    <row r="55" spans="2:29" x14ac:dyDescent="0.3">
      <c r="B55" s="112" t="s">
        <v>188</v>
      </c>
      <c r="C55" s="83">
        <v>4250.9399999999996</v>
      </c>
      <c r="D55" s="124">
        <v>3656.51</v>
      </c>
      <c r="E55" s="82">
        <v>2681.88</v>
      </c>
      <c r="F55" s="83">
        <v>2252.29</v>
      </c>
      <c r="G55" s="83">
        <v>1051.75</v>
      </c>
      <c r="Q55" s="64"/>
      <c r="R55" s="64"/>
      <c r="S55" s="64"/>
      <c r="T55" s="64"/>
      <c r="U55" s="64"/>
      <c r="V55" s="64"/>
      <c r="X55" s="64"/>
      <c r="Y55" s="64"/>
      <c r="Z55" s="64"/>
      <c r="AA55" s="64"/>
      <c r="AB55" s="64"/>
      <c r="AC55" s="64"/>
    </row>
    <row r="56" spans="2:29" x14ac:dyDescent="0.3">
      <c r="B56" s="112"/>
      <c r="C56" s="115">
        <v>11078.2</v>
      </c>
      <c r="D56" s="116">
        <v>11206.29</v>
      </c>
      <c r="E56" s="94">
        <v>6986.7</v>
      </c>
      <c r="F56" s="94">
        <v>6677.48</v>
      </c>
      <c r="G56" s="94">
        <v>2744.74</v>
      </c>
      <c r="Q56" s="64"/>
      <c r="R56" s="64"/>
      <c r="S56" s="64"/>
      <c r="T56" s="64"/>
      <c r="U56" s="64"/>
      <c r="V56" s="64"/>
      <c r="X56" s="64"/>
      <c r="Y56" s="64"/>
      <c r="Z56" s="64"/>
      <c r="AA56" s="64"/>
      <c r="AB56" s="64"/>
      <c r="AC56" s="64"/>
    </row>
    <row r="57" spans="2:29" x14ac:dyDescent="0.3">
      <c r="B57" s="40" t="s">
        <v>190</v>
      </c>
      <c r="C57" s="39"/>
      <c r="D57" s="59"/>
      <c r="E57" s="19"/>
      <c r="G57" s="19"/>
      <c r="Q57" s="64"/>
      <c r="R57" s="64"/>
      <c r="S57" s="64"/>
      <c r="T57" s="64"/>
      <c r="U57" s="64"/>
      <c r="V57" s="64"/>
      <c r="X57" s="64"/>
      <c r="Y57" s="64"/>
      <c r="Z57" s="64"/>
      <c r="AA57" s="64"/>
      <c r="AB57" s="64"/>
      <c r="AC57" s="64"/>
    </row>
    <row r="58" spans="2:29" x14ac:dyDescent="0.3">
      <c r="B58" s="19" t="s">
        <v>187</v>
      </c>
      <c r="C58" s="83">
        <v>3104.23</v>
      </c>
      <c r="D58" s="83">
        <v>3281.85</v>
      </c>
      <c r="E58" s="83">
        <v>4780.54</v>
      </c>
      <c r="F58" s="35">
        <v>5067.74</v>
      </c>
      <c r="G58" s="83">
        <v>2822.5</v>
      </c>
      <c r="Q58" s="64"/>
      <c r="R58" s="64"/>
      <c r="S58" s="64"/>
      <c r="T58" s="64"/>
      <c r="U58" s="64"/>
      <c r="V58" s="64"/>
      <c r="X58" s="64"/>
      <c r="Y58" s="64"/>
      <c r="Z58" s="64"/>
      <c r="AA58" s="64"/>
      <c r="AB58" s="64"/>
      <c r="AC58" s="64"/>
    </row>
    <row r="59" spans="2:29" x14ac:dyDescent="0.3">
      <c r="B59" s="112" t="s">
        <v>188</v>
      </c>
      <c r="C59" s="19">
        <v>76.55</v>
      </c>
      <c r="D59">
        <v>1.05</v>
      </c>
      <c r="E59" s="19">
        <v>60.38</v>
      </c>
      <c r="F59" s="35">
        <v>65.739999999999995</v>
      </c>
      <c r="G59" s="19">
        <v>41.24</v>
      </c>
      <c r="Q59" s="64"/>
      <c r="R59" s="64"/>
      <c r="S59" s="64"/>
      <c r="T59" s="64"/>
      <c r="U59" s="64"/>
      <c r="V59" s="64"/>
      <c r="X59" s="64"/>
      <c r="Y59" s="64"/>
      <c r="Z59" s="64"/>
      <c r="AA59" s="64"/>
      <c r="AB59" s="64"/>
      <c r="AC59" s="64"/>
    </row>
    <row r="60" spans="2:29" x14ac:dyDescent="0.3">
      <c r="B60" s="112"/>
      <c r="C60" s="94">
        <v>3180.78</v>
      </c>
      <c r="D60" s="116">
        <v>3280.8</v>
      </c>
      <c r="E60" s="94">
        <v>4840.92</v>
      </c>
      <c r="F60" s="94">
        <v>5002</v>
      </c>
      <c r="G60" s="94">
        <v>2781.26</v>
      </c>
      <c r="Q60" s="64"/>
      <c r="R60" s="64"/>
      <c r="S60" s="64"/>
      <c r="T60" s="64"/>
      <c r="U60" s="64"/>
      <c r="V60" s="64"/>
      <c r="X60" s="64"/>
      <c r="Y60" s="64"/>
      <c r="Z60" s="64"/>
      <c r="AA60" s="64"/>
      <c r="AB60" s="64"/>
      <c r="AC60" s="64"/>
    </row>
    <row r="61" spans="2:29" x14ac:dyDescent="0.3">
      <c r="B61" s="40" t="s">
        <v>191</v>
      </c>
      <c r="C61" s="39"/>
      <c r="D61" s="59"/>
      <c r="E61" s="19"/>
      <c r="G61" s="19"/>
      <c r="Q61" s="64"/>
      <c r="R61" s="64"/>
      <c r="S61" s="64"/>
      <c r="T61" s="64"/>
      <c r="U61" s="64"/>
      <c r="V61" s="64"/>
      <c r="X61" s="64"/>
      <c r="Y61" s="64"/>
      <c r="Z61" s="64"/>
      <c r="AA61" s="64"/>
      <c r="AB61" s="64"/>
      <c r="AC61" s="64"/>
    </row>
    <row r="62" spans="2:29" x14ac:dyDescent="0.3">
      <c r="B62" s="112" t="s">
        <v>187</v>
      </c>
      <c r="C62" s="83">
        <v>3723.03</v>
      </c>
      <c r="D62" s="83">
        <v>10831.63</v>
      </c>
      <c r="E62" s="83">
        <v>9085.36</v>
      </c>
      <c r="F62" s="19">
        <v>642.54999999999995</v>
      </c>
      <c r="G62" s="83">
        <v>1129.51</v>
      </c>
      <c r="Q62" s="64"/>
      <c r="R62" s="64"/>
      <c r="S62" s="64"/>
      <c r="T62" s="64"/>
      <c r="U62" s="64"/>
      <c r="V62" s="64"/>
      <c r="X62" s="64"/>
      <c r="Y62" s="64"/>
      <c r="Z62" s="64"/>
      <c r="AA62" s="64"/>
      <c r="AB62" s="64"/>
      <c r="AC62" s="64"/>
    </row>
    <row r="63" spans="2:29" x14ac:dyDescent="0.3">
      <c r="B63" s="112" t="s">
        <v>188</v>
      </c>
      <c r="C63" s="83">
        <v>4174.3900000000003</v>
      </c>
      <c r="D63" s="86">
        <v>3655.46</v>
      </c>
      <c r="E63" s="86">
        <v>2742.26</v>
      </c>
      <c r="F63" s="86">
        <v>2318.0300000000002</v>
      </c>
      <c r="G63" s="86">
        <v>1092.99</v>
      </c>
      <c r="Q63" s="64"/>
      <c r="R63" s="64"/>
      <c r="S63" s="64"/>
      <c r="T63" s="64"/>
      <c r="U63" s="64"/>
      <c r="V63" s="64"/>
      <c r="X63" s="64"/>
      <c r="Y63" s="64"/>
      <c r="Z63" s="64"/>
      <c r="AA63" s="64"/>
      <c r="AB63" s="64"/>
      <c r="AC63" s="64"/>
    </row>
    <row r="64" spans="2:29" x14ac:dyDescent="0.3">
      <c r="B64" s="112"/>
      <c r="C64" s="94">
        <v>7897.42</v>
      </c>
      <c r="D64" s="93">
        <v>14487.09</v>
      </c>
      <c r="E64" s="94">
        <v>11827.62</v>
      </c>
      <c r="F64" s="116">
        <v>1675.48</v>
      </c>
      <c r="G64" s="77">
        <v>36.520000000000003</v>
      </c>
      <c r="Q64" s="64"/>
      <c r="R64" s="64"/>
      <c r="S64" s="64"/>
      <c r="T64" s="64"/>
      <c r="U64" s="64"/>
      <c r="V64" s="64"/>
      <c r="X64" s="64"/>
      <c r="Y64" s="64"/>
      <c r="Z64" s="64"/>
      <c r="AA64" s="64"/>
      <c r="AB64" s="64"/>
      <c r="AC64" s="64"/>
    </row>
    <row r="65" spans="2:29" x14ac:dyDescent="0.3">
      <c r="B65" s="40" t="s">
        <v>192</v>
      </c>
      <c r="C65" s="39"/>
      <c r="D65" s="59"/>
      <c r="E65" s="19"/>
      <c r="G65" s="19"/>
      <c r="Q65" s="64"/>
      <c r="R65" s="64"/>
      <c r="S65" s="64"/>
      <c r="T65" s="64"/>
      <c r="U65" s="64"/>
      <c r="V65" s="64"/>
      <c r="X65" s="64"/>
      <c r="Y65" s="64"/>
      <c r="Z65" s="64"/>
      <c r="AA65" s="64"/>
      <c r="AB65" s="64"/>
      <c r="AC65" s="64"/>
    </row>
    <row r="66" spans="2:29" x14ac:dyDescent="0.3">
      <c r="B66" s="112" t="s">
        <v>193</v>
      </c>
      <c r="C66" s="19">
        <v>103.98</v>
      </c>
      <c r="D66" s="19">
        <v>108.16</v>
      </c>
      <c r="E66" s="19">
        <v>62.88</v>
      </c>
      <c r="F66">
        <v>67.42</v>
      </c>
      <c r="G66" s="19">
        <v>25.76</v>
      </c>
      <c r="Q66" s="64"/>
      <c r="R66" s="64"/>
      <c r="S66" s="64"/>
      <c r="T66" s="64"/>
      <c r="U66" s="64"/>
      <c r="V66" s="64"/>
      <c r="X66" s="64"/>
      <c r="Y66" s="64"/>
      <c r="Z66" s="64"/>
      <c r="AA66" s="64"/>
      <c r="AB66" s="64"/>
      <c r="AC66" s="64"/>
    </row>
    <row r="67" spans="2:29" x14ac:dyDescent="0.3">
      <c r="B67" s="19" t="s">
        <v>194</v>
      </c>
      <c r="C67" s="19">
        <v>103.88</v>
      </c>
      <c r="D67" s="130">
        <v>108</v>
      </c>
      <c r="E67" s="19">
        <v>62.82</v>
      </c>
      <c r="F67">
        <v>67.38</v>
      </c>
      <c r="G67" s="19">
        <v>25.74</v>
      </c>
      <c r="Q67" s="64"/>
      <c r="R67" s="64"/>
      <c r="S67" s="64"/>
      <c r="T67" s="64"/>
      <c r="U67" s="64"/>
      <c r="V67" s="64"/>
      <c r="X67" s="64"/>
      <c r="Y67" s="64"/>
      <c r="Z67" s="64"/>
      <c r="AA67" s="64"/>
      <c r="AB67" s="64"/>
      <c r="AC67" s="64"/>
    </row>
    <row r="68" spans="2:29" x14ac:dyDescent="0.3">
      <c r="B68" s="31" t="s">
        <v>195</v>
      </c>
      <c r="C68" s="39"/>
      <c r="D68" s="59"/>
      <c r="E68" s="19"/>
      <c r="G68" s="19"/>
      <c r="Q68" s="64"/>
      <c r="R68" s="64"/>
      <c r="S68" s="64"/>
      <c r="T68" s="64"/>
      <c r="U68" s="64"/>
      <c r="V68" s="64"/>
      <c r="X68" s="64"/>
      <c r="Y68" s="64"/>
      <c r="Z68" s="64"/>
      <c r="AA68" s="64"/>
      <c r="AB68" s="64"/>
      <c r="AC68" s="64"/>
    </row>
    <row r="69" spans="2:29" x14ac:dyDescent="0.3">
      <c r="B69" s="19" t="s">
        <v>193</v>
      </c>
      <c r="C69" s="39"/>
      <c r="D69" s="129">
        <v>6.82</v>
      </c>
      <c r="E69" s="19">
        <v>2.69</v>
      </c>
      <c r="G69" s="19"/>
      <c r="Q69" s="64"/>
      <c r="R69" s="64"/>
      <c r="S69" s="64"/>
      <c r="T69" s="64"/>
      <c r="U69" s="64"/>
      <c r="V69" s="64"/>
      <c r="X69" s="64"/>
      <c r="Y69" s="64"/>
      <c r="Z69" s="64"/>
      <c r="AA69" s="64"/>
      <c r="AB69" s="64"/>
      <c r="AC69" s="64"/>
    </row>
    <row r="70" spans="2:29" x14ac:dyDescent="0.3">
      <c r="B70" s="19" t="s">
        <v>194</v>
      </c>
      <c r="C70" s="39"/>
      <c r="D70" s="114">
        <v>6.8</v>
      </c>
      <c r="E70" s="19">
        <v>2.68</v>
      </c>
      <c r="G70" s="19"/>
      <c r="Q70" s="64"/>
      <c r="R70" s="64"/>
      <c r="S70" s="64"/>
      <c r="T70" s="64"/>
      <c r="U70" s="64"/>
      <c r="V70" s="64"/>
      <c r="X70" s="64"/>
      <c r="Y70" s="64"/>
      <c r="Z70" s="64"/>
      <c r="AA70" s="64"/>
      <c r="AB70" s="64"/>
      <c r="AC70" s="64"/>
    </row>
    <row r="71" spans="2:29" x14ac:dyDescent="0.3">
      <c r="B71" s="31" t="s">
        <v>196</v>
      </c>
      <c r="C71" s="39"/>
      <c r="D71" s="59"/>
      <c r="E71" s="19"/>
      <c r="G71" s="19"/>
      <c r="Q71" s="64"/>
      <c r="R71" s="64"/>
      <c r="S71" s="64"/>
      <c r="T71" s="64"/>
      <c r="U71" s="64"/>
      <c r="V71" s="64"/>
      <c r="X71" s="64"/>
      <c r="Y71" s="64"/>
      <c r="Z71" s="64"/>
      <c r="AA71" s="64"/>
      <c r="AB71" s="64"/>
      <c r="AC71" s="64"/>
    </row>
    <row r="72" spans="2:29" x14ac:dyDescent="0.3">
      <c r="B72" s="19" t="s">
        <v>193</v>
      </c>
      <c r="C72" s="19">
        <v>103.98</v>
      </c>
      <c r="D72">
        <v>114.98</v>
      </c>
      <c r="E72" s="19">
        <v>65.569999999999993</v>
      </c>
      <c r="F72">
        <v>67.42</v>
      </c>
      <c r="G72" s="19">
        <v>25.76</v>
      </c>
      <c r="Q72" s="64"/>
      <c r="R72" s="64"/>
      <c r="S72" s="64"/>
      <c r="T72" s="64"/>
      <c r="U72" s="64"/>
      <c r="V72" s="64"/>
      <c r="X72" s="64"/>
      <c r="Y72" s="64"/>
      <c r="Z72" s="64"/>
      <c r="AA72" s="64"/>
      <c r="AB72" s="64"/>
      <c r="AC72" s="64"/>
    </row>
    <row r="73" spans="2:29" x14ac:dyDescent="0.3">
      <c r="B73" s="19" t="s">
        <v>194</v>
      </c>
      <c r="C73" s="19">
        <v>103.88</v>
      </c>
      <c r="D73" s="55">
        <v>114.8</v>
      </c>
      <c r="E73" s="19">
        <v>65.5</v>
      </c>
      <c r="F73" s="6">
        <v>67.38</v>
      </c>
      <c r="G73" s="19">
        <v>25.74</v>
      </c>
      <c r="Q73" s="64"/>
      <c r="R73" s="64"/>
      <c r="S73" s="64"/>
      <c r="T73" s="64"/>
      <c r="U73" s="64"/>
      <c r="V73" s="64"/>
      <c r="X73" s="64"/>
      <c r="Y73" s="64"/>
      <c r="Z73" s="64"/>
      <c r="AA73" s="64"/>
      <c r="AB73" s="64"/>
      <c r="AC73" s="64"/>
    </row>
    <row r="74" spans="2:29" x14ac:dyDescent="0.3">
      <c r="B74" s="42"/>
      <c r="C74" s="42"/>
      <c r="D74" s="61"/>
      <c r="E74" s="4"/>
      <c r="F74" s="16"/>
      <c r="G74" s="4"/>
    </row>
    <row r="75" spans="2:29" x14ac:dyDescent="0.3">
      <c r="D75" s="10"/>
    </row>
    <row r="80" spans="2:29" x14ac:dyDescent="0.3">
      <c r="C80" s="9"/>
      <c r="D80" s="9"/>
      <c r="E80" s="9"/>
    </row>
    <row r="82" spans="3:7" x14ac:dyDescent="0.3">
      <c r="C82" s="55"/>
      <c r="D82" s="55"/>
      <c r="E82" s="55"/>
    </row>
    <row r="84" spans="3:7" x14ac:dyDescent="0.3">
      <c r="C84" s="55"/>
      <c r="D84" s="55"/>
      <c r="E84" s="55"/>
      <c r="F84" s="55"/>
      <c r="G84" s="55"/>
    </row>
  </sheetData>
  <mergeCells count="12">
    <mergeCell ref="X2:AC2"/>
    <mergeCell ref="Q9:Q11"/>
    <mergeCell ref="R9:R11"/>
    <mergeCell ref="S9:S11"/>
    <mergeCell ref="T9:T11"/>
    <mergeCell ref="U9:U11"/>
    <mergeCell ref="V9:V11"/>
    <mergeCell ref="B2:G2"/>
    <mergeCell ref="B3:G3"/>
    <mergeCell ref="I2:N2"/>
    <mergeCell ref="I3:N3"/>
    <mergeCell ref="Q2:V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3486-7C0F-4311-913C-779B61C822AB}">
  <sheetPr>
    <tabColor rgb="FFFFFF00"/>
  </sheetPr>
  <dimension ref="B2:N128"/>
  <sheetViews>
    <sheetView zoomScale="70" zoomScaleNormal="70" workbookViewId="0">
      <pane xSplit="2" ySplit="4" topLeftCell="C45" activePane="bottomRight" state="frozen"/>
      <selection pane="topRight" activeCell="C1" sqref="C1"/>
      <selection pane="bottomLeft" activeCell="A5" sqref="A5"/>
      <selection pane="bottomRight" activeCell="I2" sqref="I2:N60"/>
    </sheetView>
  </sheetViews>
  <sheetFormatPr defaultRowHeight="14.4" x14ac:dyDescent="0.3"/>
  <cols>
    <col min="1" max="1" width="3.88671875" customWidth="1"/>
    <col min="2" max="2" width="60.21875" customWidth="1"/>
    <col min="3" max="3" width="11" bestFit="1" customWidth="1"/>
    <col min="4" max="4" width="11.88671875" customWidth="1"/>
    <col min="5" max="5" width="11" bestFit="1" customWidth="1"/>
    <col min="6" max="6" width="11.109375" customWidth="1"/>
    <col min="7" max="7" width="11.33203125" bestFit="1" customWidth="1"/>
    <col min="8" max="8" width="4.33203125" customWidth="1"/>
    <col min="9" max="9" width="32.109375" bestFit="1" customWidth="1"/>
    <col min="10" max="10" width="18" customWidth="1"/>
    <col min="11" max="11" width="19.21875" customWidth="1"/>
    <col min="12" max="14" width="18.44140625" bestFit="1" customWidth="1"/>
  </cols>
  <sheetData>
    <row r="2" spans="2:14" ht="15.6" customHeight="1" x14ac:dyDescent="0.3">
      <c r="B2" s="295" t="s">
        <v>129</v>
      </c>
      <c r="C2" s="296"/>
      <c r="D2" s="296"/>
      <c r="E2" s="296"/>
      <c r="F2" s="296"/>
      <c r="G2" s="297"/>
      <c r="I2" s="320" t="s">
        <v>376</v>
      </c>
      <c r="J2" s="321"/>
      <c r="K2" s="321"/>
      <c r="L2" s="321"/>
      <c r="M2" s="321"/>
      <c r="N2" s="322"/>
    </row>
    <row r="3" spans="2:14" ht="15.6" x14ac:dyDescent="0.3">
      <c r="B3" s="298" t="s">
        <v>128</v>
      </c>
      <c r="C3" s="299"/>
      <c r="D3" s="299"/>
      <c r="E3" s="299"/>
      <c r="F3" s="299"/>
      <c r="G3" s="300"/>
      <c r="I3" s="327" t="s">
        <v>377</v>
      </c>
      <c r="J3" s="328"/>
      <c r="K3" s="328"/>
      <c r="L3" s="328"/>
      <c r="M3" s="328"/>
      <c r="N3" s="329"/>
    </row>
    <row r="4" spans="2:14" ht="43.2" x14ac:dyDescent="0.3">
      <c r="B4" s="2" t="s">
        <v>0</v>
      </c>
      <c r="C4" s="1" t="s">
        <v>59</v>
      </c>
      <c r="D4" s="1" t="s">
        <v>58</v>
      </c>
      <c r="E4" s="18" t="s">
        <v>1</v>
      </c>
      <c r="F4" s="24" t="s">
        <v>2</v>
      </c>
      <c r="G4" s="1" t="s">
        <v>3</v>
      </c>
      <c r="I4" s="64"/>
      <c r="J4" s="1" t="s">
        <v>59</v>
      </c>
      <c r="K4" s="1" t="s">
        <v>58</v>
      </c>
      <c r="L4" s="24" t="s">
        <v>1</v>
      </c>
      <c r="M4" s="1" t="s">
        <v>2</v>
      </c>
      <c r="N4" s="230" t="s">
        <v>3</v>
      </c>
    </row>
    <row r="5" spans="2:14" x14ac:dyDescent="0.3">
      <c r="B5" s="5" t="s">
        <v>4</v>
      </c>
      <c r="C5" s="12"/>
      <c r="D5" s="54"/>
      <c r="F5" s="8"/>
      <c r="G5" s="27"/>
      <c r="I5" s="19"/>
      <c r="J5" s="8"/>
      <c r="K5" s="8"/>
      <c r="L5" s="231"/>
      <c r="M5" s="231"/>
      <c r="N5" s="232"/>
    </row>
    <row r="6" spans="2:14" x14ac:dyDescent="0.3">
      <c r="B6" s="7" t="s">
        <v>5</v>
      </c>
      <c r="C6" s="12"/>
      <c r="D6" s="3"/>
      <c r="F6" s="8"/>
      <c r="G6" s="19"/>
      <c r="I6" s="19"/>
      <c r="J6" s="8"/>
      <c r="K6" s="8"/>
      <c r="L6" s="233"/>
      <c r="M6" s="134"/>
      <c r="N6" s="134"/>
    </row>
    <row r="7" spans="2:14" x14ac:dyDescent="0.3">
      <c r="B7" s="8" t="s">
        <v>6</v>
      </c>
      <c r="C7" s="82">
        <v>63753.53</v>
      </c>
      <c r="D7" s="83">
        <v>58148.57</v>
      </c>
      <c r="E7" s="83">
        <v>53767.33</v>
      </c>
      <c r="F7" s="83">
        <v>55758.44</v>
      </c>
      <c r="G7" s="83">
        <v>55652.22</v>
      </c>
      <c r="I7" s="19" t="s">
        <v>64</v>
      </c>
      <c r="J7" s="234">
        <f>(C7/$G$7)*100</f>
        <v>114.55702935121006</v>
      </c>
      <c r="K7" s="234">
        <f t="shared" ref="K7:N7" si="0">(D7/$G$7)*100</f>
        <v>104.48562519159164</v>
      </c>
      <c r="L7" s="234">
        <f t="shared" si="0"/>
        <v>96.613091086033947</v>
      </c>
      <c r="M7" s="234">
        <f t="shared" si="0"/>
        <v>100.19086390444083</v>
      </c>
      <c r="N7" s="234">
        <f t="shared" si="0"/>
        <v>100</v>
      </c>
    </row>
    <row r="8" spans="2:14" x14ac:dyDescent="0.3">
      <c r="B8" s="8" t="s">
        <v>12</v>
      </c>
      <c r="C8" s="35">
        <v>7730.18</v>
      </c>
      <c r="D8" s="83">
        <v>6572.18</v>
      </c>
      <c r="E8" s="35">
        <v>5719.43</v>
      </c>
      <c r="F8" s="35">
        <v>3822.45</v>
      </c>
      <c r="G8" s="35">
        <v>2728.2</v>
      </c>
      <c r="I8" s="19" t="s">
        <v>65</v>
      </c>
      <c r="J8" s="234">
        <f>(C8/$G$8)*100</f>
        <v>283.34359651051977</v>
      </c>
      <c r="K8" s="234">
        <f>(D8/$G$8)*100</f>
        <v>240.89802800381207</v>
      </c>
      <c r="L8" s="234">
        <f>(E8/$G$8)*100</f>
        <v>209.64115534051757</v>
      </c>
      <c r="M8" s="234">
        <f>(F8/$G$8)*100</f>
        <v>140.10886298658457</v>
      </c>
      <c r="N8" s="234">
        <f>(G8/$G$8)*100</f>
        <v>100</v>
      </c>
    </row>
    <row r="9" spans="2:14" x14ac:dyDescent="0.3">
      <c r="B9" s="8" t="s">
        <v>130</v>
      </c>
      <c r="C9" s="6">
        <v>14.37</v>
      </c>
      <c r="D9" s="19">
        <v>14.81</v>
      </c>
      <c r="E9">
        <v>15.24</v>
      </c>
      <c r="F9">
        <v>15.67</v>
      </c>
      <c r="G9">
        <v>16.11</v>
      </c>
      <c r="I9" s="3" t="s">
        <v>66</v>
      </c>
      <c r="J9" s="10"/>
      <c r="K9" s="10"/>
      <c r="L9" s="10"/>
      <c r="M9" s="235"/>
      <c r="N9" s="3"/>
    </row>
    <row r="10" spans="2:14" x14ac:dyDescent="0.3">
      <c r="B10" s="8" t="s">
        <v>131</v>
      </c>
      <c r="C10" s="82">
        <v>20137.55</v>
      </c>
      <c r="D10" s="83">
        <v>20058.5</v>
      </c>
      <c r="E10" s="35">
        <v>20013.86</v>
      </c>
      <c r="F10" s="35">
        <v>20046.5</v>
      </c>
      <c r="G10" s="35">
        <v>21346.39</v>
      </c>
      <c r="I10" s="19"/>
      <c r="J10" s="8"/>
      <c r="K10" s="8"/>
      <c r="L10" s="233"/>
      <c r="M10" s="134"/>
      <c r="N10" s="134"/>
    </row>
    <row r="11" spans="2:14" x14ac:dyDescent="0.3">
      <c r="B11" s="8" t="s">
        <v>13</v>
      </c>
      <c r="C11" s="82">
        <v>8591.89</v>
      </c>
      <c r="D11" s="83">
        <v>8895.41</v>
      </c>
      <c r="E11" s="35">
        <v>9254.48</v>
      </c>
      <c r="F11" s="35">
        <v>9684.2900000000009</v>
      </c>
      <c r="G11" s="35">
        <v>10114.469999999999</v>
      </c>
      <c r="I11" s="326" t="s">
        <v>14</v>
      </c>
      <c r="J11" s="245">
        <f>(C20/$G$20)*100</f>
        <v>253.333072672464</v>
      </c>
      <c r="K11" s="245">
        <f t="shared" ref="K11:N11" si="1">(D20/$G$20)*100</f>
        <v>198.39693565372784</v>
      </c>
      <c r="L11" s="245">
        <f t="shared" si="1"/>
        <v>160.54090121572656</v>
      </c>
      <c r="M11" s="245">
        <f t="shared" si="1"/>
        <v>123.51056349538534</v>
      </c>
      <c r="N11" s="245">
        <f t="shared" si="1"/>
        <v>100</v>
      </c>
    </row>
    <row r="12" spans="2:14" x14ac:dyDescent="0.3">
      <c r="B12" s="8"/>
      <c r="C12" s="82"/>
      <c r="D12" s="83"/>
      <c r="E12" s="35"/>
      <c r="F12" s="35"/>
      <c r="G12" s="35"/>
      <c r="I12" s="326"/>
      <c r="J12" s="245">
        <f>(C21/$G$21)*100</f>
        <v>108.58943095934053</v>
      </c>
      <c r="K12" s="245">
        <f t="shared" ref="K12:N12" si="2">(D21/$G$21)*100</f>
        <v>158.61982672130287</v>
      </c>
      <c r="L12" s="245">
        <f t="shared" si="2"/>
        <v>121.04163762309715</v>
      </c>
      <c r="M12" s="245">
        <f t="shared" si="2"/>
        <v>70.980617559608845</v>
      </c>
      <c r="N12" s="245">
        <f t="shared" si="2"/>
        <v>100</v>
      </c>
    </row>
    <row r="13" spans="2:14" x14ac:dyDescent="0.3">
      <c r="B13" s="8"/>
      <c r="C13" s="82"/>
      <c r="D13" s="83"/>
      <c r="E13" s="35"/>
      <c r="F13" s="35"/>
      <c r="G13" s="35"/>
      <c r="I13" s="326"/>
      <c r="J13" s="245">
        <f>(C22/$G$22)*100</f>
        <v>132.65702488528456</v>
      </c>
      <c r="K13" s="245">
        <f t="shared" ref="K13:N13" si="3">(D22/$G$22)*100</f>
        <v>129.16987276900994</v>
      </c>
      <c r="L13" s="245">
        <f t="shared" si="3"/>
        <v>114.90670798152694</v>
      </c>
      <c r="M13" s="245">
        <f t="shared" si="3"/>
        <v>87.170450979374706</v>
      </c>
      <c r="N13" s="245">
        <f t="shared" si="3"/>
        <v>100</v>
      </c>
    </row>
    <row r="14" spans="2:14" x14ac:dyDescent="0.3">
      <c r="B14" s="8"/>
      <c r="C14" s="82"/>
      <c r="D14" s="83"/>
      <c r="E14" s="35"/>
      <c r="F14" s="35"/>
      <c r="G14" s="35"/>
      <c r="I14" s="326"/>
      <c r="J14" s="246" t="s">
        <v>363</v>
      </c>
      <c r="K14" s="246" t="s">
        <v>363</v>
      </c>
      <c r="L14" s="246" t="s">
        <v>363</v>
      </c>
      <c r="M14" s="246" t="s">
        <v>363</v>
      </c>
      <c r="N14" s="246" t="s">
        <v>363</v>
      </c>
    </row>
    <row r="15" spans="2:14" x14ac:dyDescent="0.3">
      <c r="B15" s="8" t="s">
        <v>132</v>
      </c>
      <c r="C15" s="6">
        <v>47.5</v>
      </c>
      <c r="D15" s="19">
        <v>42.94</v>
      </c>
      <c r="E15">
        <v>49.26</v>
      </c>
      <c r="F15">
        <v>81.680000000000007</v>
      </c>
      <c r="G15">
        <v>37.770000000000003</v>
      </c>
      <c r="I15" s="326"/>
      <c r="J15" s="245">
        <f>(C24/$G$24)*100</f>
        <v>152.78996271828603</v>
      </c>
      <c r="K15" s="245">
        <f t="shared" ref="K15:N15" si="4">(D24/$G$24)*100</f>
        <v>112.00709199828307</v>
      </c>
      <c r="L15" s="245">
        <f t="shared" si="4"/>
        <v>98.618250383154617</v>
      </c>
      <c r="M15" s="245">
        <f t="shared" si="4"/>
        <v>99.289032346247154</v>
      </c>
      <c r="N15" s="245">
        <f t="shared" si="4"/>
        <v>100</v>
      </c>
    </row>
    <row r="16" spans="2:14" x14ac:dyDescent="0.3">
      <c r="B16" s="8" t="s">
        <v>133</v>
      </c>
      <c r="C16" s="82">
        <v>2399.0300000000002</v>
      </c>
      <c r="D16" s="83">
        <v>1878.83</v>
      </c>
      <c r="E16" s="35">
        <v>1971.89</v>
      </c>
      <c r="F16" s="35">
        <v>2062.63</v>
      </c>
      <c r="G16" s="3"/>
      <c r="I16" s="326"/>
      <c r="J16" s="245">
        <f>(C25/$G$25)*100</f>
        <v>1178.9589212919411</v>
      </c>
      <c r="K16" s="245">
        <f t="shared" ref="K16:N16" si="5">(D25/$G$25)*100</f>
        <v>770.77453747256197</v>
      </c>
      <c r="L16" s="245">
        <f t="shared" si="5"/>
        <v>398.03386641580431</v>
      </c>
      <c r="M16" s="245">
        <f t="shared" si="5"/>
        <v>162.44277202884919</v>
      </c>
      <c r="N16" s="245">
        <f t="shared" si="5"/>
        <v>100</v>
      </c>
    </row>
    <row r="17" spans="2:14" x14ac:dyDescent="0.3">
      <c r="B17" t="s">
        <v>134</v>
      </c>
      <c r="C17" s="82">
        <v>11016.84</v>
      </c>
      <c r="D17" s="83">
        <v>7050.17</v>
      </c>
      <c r="E17" s="35">
        <v>6837.66</v>
      </c>
      <c r="F17" s="35">
        <v>6533.09</v>
      </c>
      <c r="G17" s="35">
        <v>6284.29</v>
      </c>
      <c r="I17" s="19"/>
      <c r="J17" s="8"/>
      <c r="K17" s="8"/>
      <c r="L17" s="235"/>
      <c r="M17" s="3"/>
      <c r="N17" s="3"/>
    </row>
    <row r="18" spans="2:14" x14ac:dyDescent="0.3">
      <c r="B18" s="8" t="s">
        <v>14</v>
      </c>
      <c r="C18" s="8"/>
      <c r="D18" s="3"/>
      <c r="F18" s="8"/>
      <c r="G18" s="19"/>
      <c r="I18" s="19" t="s">
        <v>348</v>
      </c>
      <c r="J18" s="234"/>
      <c r="K18" s="234"/>
      <c r="L18" s="234"/>
      <c r="M18" s="234"/>
      <c r="N18" s="234"/>
    </row>
    <row r="19" spans="2:14" x14ac:dyDescent="0.3">
      <c r="B19" s="8" t="s">
        <v>140</v>
      </c>
      <c r="C19" s="3"/>
      <c r="D19" s="3"/>
      <c r="E19" s="9"/>
      <c r="F19" s="25"/>
      <c r="G19" s="20"/>
      <c r="I19" s="19" t="s">
        <v>75</v>
      </c>
      <c r="J19" s="234">
        <f>(C43/$G$43)*100</f>
        <v>8.4474296047532942</v>
      </c>
      <c r="K19" s="234">
        <f t="shared" ref="K19:N19" si="6">(D43/$G$43)*100</f>
        <v>0.28416429863084475</v>
      </c>
      <c r="L19" s="234">
        <f t="shared" si="6"/>
        <v>0.30999741668819425</v>
      </c>
      <c r="M19" s="234">
        <f t="shared" si="6"/>
        <v>0.98165848617928186</v>
      </c>
      <c r="N19" s="234">
        <f t="shared" si="6"/>
        <v>100</v>
      </c>
    </row>
    <row r="20" spans="2:14" x14ac:dyDescent="0.3">
      <c r="B20" s="8" t="s">
        <v>141</v>
      </c>
      <c r="C20" s="82">
        <v>39523.43</v>
      </c>
      <c r="D20" s="84">
        <v>30952.639999999999</v>
      </c>
      <c r="E20" s="35">
        <v>25046.58</v>
      </c>
      <c r="F20" s="35">
        <v>19269.34</v>
      </c>
      <c r="G20" s="35">
        <v>15601.37</v>
      </c>
      <c r="I20" s="77" t="s">
        <v>349</v>
      </c>
      <c r="J20" s="236">
        <f>(C29/$G$29)*100</f>
        <v>140.97858388811824</v>
      </c>
      <c r="K20" s="236">
        <f t="shared" ref="K20:N20" si="7">(D29/$G$29)*100</f>
        <v>121.60753514915521</v>
      </c>
      <c r="L20" s="236">
        <f t="shared" si="7"/>
        <v>108.3565838354243</v>
      </c>
      <c r="M20" s="236">
        <f t="shared" si="7"/>
        <v>100.40623469628009</v>
      </c>
      <c r="N20" s="236">
        <f t="shared" si="7"/>
        <v>100</v>
      </c>
    </row>
    <row r="21" spans="2:14" x14ac:dyDescent="0.3">
      <c r="B21" s="8" t="s">
        <v>142</v>
      </c>
      <c r="C21" s="84">
        <v>9502.9</v>
      </c>
      <c r="D21" s="84">
        <v>13881.17</v>
      </c>
      <c r="E21" s="35">
        <v>10592.62</v>
      </c>
      <c r="F21" s="35">
        <v>6211.67</v>
      </c>
      <c r="G21" s="35">
        <v>8751.2199999999993</v>
      </c>
      <c r="I21" s="19"/>
      <c r="J21" s="8"/>
      <c r="K21" s="8"/>
      <c r="L21" s="233"/>
      <c r="M21" s="134"/>
      <c r="N21" s="152"/>
    </row>
    <row r="22" spans="2:14" x14ac:dyDescent="0.3">
      <c r="B22" s="8" t="s">
        <v>135</v>
      </c>
      <c r="C22" s="82">
        <v>26842.95</v>
      </c>
      <c r="D22" s="84">
        <v>26137.33</v>
      </c>
      <c r="E22" s="35">
        <v>23251.200000000001</v>
      </c>
      <c r="F22" s="35">
        <v>17638.810000000001</v>
      </c>
      <c r="G22" s="35">
        <v>20234.849999999999</v>
      </c>
      <c r="I22" s="19" t="s">
        <v>16</v>
      </c>
      <c r="J22" s="234">
        <f>(C31/$G$31)*100</f>
        <v>158.08109497912633</v>
      </c>
      <c r="K22" s="234">
        <f t="shared" ref="K22:N22" si="8">(D31/$G$31)*100</f>
        <v>135.09341802743398</v>
      </c>
      <c r="L22" s="234">
        <f t="shared" si="8"/>
        <v>87.7864552714003</v>
      </c>
      <c r="M22" s="234">
        <f t="shared" si="8"/>
        <v>96.408055950237497</v>
      </c>
      <c r="N22" s="234">
        <f t="shared" si="8"/>
        <v>100</v>
      </c>
    </row>
    <row r="23" spans="2:14" x14ac:dyDescent="0.3">
      <c r="B23" s="8" t="s">
        <v>77</v>
      </c>
      <c r="C23">
        <v>6.82</v>
      </c>
      <c r="D23" s="85"/>
      <c r="E23" s="9"/>
      <c r="F23" s="35"/>
      <c r="G23" s="20"/>
      <c r="I23" s="19"/>
      <c r="J23" s="8"/>
      <c r="K23" s="8"/>
      <c r="L23" s="233"/>
      <c r="M23" s="134"/>
      <c r="N23" s="234"/>
    </row>
    <row r="24" spans="2:14" x14ac:dyDescent="0.3">
      <c r="B24" s="8" t="s">
        <v>78</v>
      </c>
      <c r="C24" s="82">
        <v>70871.12</v>
      </c>
      <c r="D24" s="82">
        <v>51954.12</v>
      </c>
      <c r="E24" s="35">
        <v>45743.75</v>
      </c>
      <c r="F24" s="35">
        <v>46054.89</v>
      </c>
      <c r="G24" s="35">
        <v>46384.67</v>
      </c>
      <c r="I24" s="19" t="s">
        <v>378</v>
      </c>
      <c r="J24" s="246" t="s">
        <v>363</v>
      </c>
      <c r="K24" s="246" t="s">
        <v>363</v>
      </c>
      <c r="L24" s="246" t="s">
        <v>363</v>
      </c>
      <c r="M24" s="246" t="s">
        <v>363</v>
      </c>
      <c r="N24" s="246" t="s">
        <v>363</v>
      </c>
    </row>
    <row r="25" spans="2:14" x14ac:dyDescent="0.3">
      <c r="B25" s="8" t="s">
        <v>79</v>
      </c>
      <c r="C25" s="82">
        <v>3759.7</v>
      </c>
      <c r="D25" s="82">
        <v>2458</v>
      </c>
      <c r="E25" s="35">
        <v>1269.33</v>
      </c>
      <c r="F25">
        <v>518.03</v>
      </c>
      <c r="G25">
        <v>318.89999999999998</v>
      </c>
      <c r="I25" s="317" t="s">
        <v>350</v>
      </c>
      <c r="J25" s="234">
        <f>(C38/$G$38)*100</f>
        <v>188.98250373869197</v>
      </c>
      <c r="K25" s="234">
        <f t="shared" ref="K25:N25" si="9">(D38/$G$38)*100</f>
        <v>183.11010141457393</v>
      </c>
      <c r="L25" s="234">
        <f t="shared" si="9"/>
        <v>213.86462257597918</v>
      </c>
      <c r="M25" s="234">
        <f t="shared" si="9"/>
        <v>251.10934959017399</v>
      </c>
      <c r="N25" s="234">
        <f t="shared" si="9"/>
        <v>100</v>
      </c>
    </row>
    <row r="26" spans="2:14" x14ac:dyDescent="0.3">
      <c r="B26" s="8" t="s">
        <v>33</v>
      </c>
      <c r="C26" s="6">
        <v>382.26</v>
      </c>
      <c r="D26" s="19">
        <v>246.04</v>
      </c>
      <c r="E26">
        <v>205.44</v>
      </c>
      <c r="F26">
        <v>137.57</v>
      </c>
      <c r="G26">
        <v>46.95</v>
      </c>
      <c r="I26" s="317"/>
      <c r="J26" s="234">
        <f>(C39/$G$39)*100</f>
        <v>204.63669033219389</v>
      </c>
      <c r="K26" s="234">
        <f t="shared" ref="K26:N26" si="10">(D39/$G$39)*100</f>
        <v>147.81459082011278</v>
      </c>
      <c r="L26" s="234">
        <f t="shared" si="10"/>
        <v>343.09171122213462</v>
      </c>
      <c r="M26" s="234">
        <f t="shared" si="10"/>
        <v>108.14561603412511</v>
      </c>
      <c r="N26" s="234">
        <f t="shared" si="10"/>
        <v>100</v>
      </c>
    </row>
    <row r="27" spans="2:14" x14ac:dyDescent="0.3">
      <c r="B27" s="8" t="s">
        <v>136</v>
      </c>
      <c r="C27">
        <v>826.38</v>
      </c>
      <c r="D27" s="83">
        <v>989.16</v>
      </c>
      <c r="E27">
        <v>683.73</v>
      </c>
      <c r="F27">
        <v>672.89</v>
      </c>
      <c r="G27">
        <v>245.78</v>
      </c>
      <c r="I27" s="19" t="s">
        <v>351</v>
      </c>
      <c r="J27" s="234">
        <f>(C40/$G$40)*100</f>
        <v>129.95444456336114</v>
      </c>
      <c r="K27" s="234">
        <f t="shared" ref="K27:N27" si="11">(D40/$G$40)*100</f>
        <v>82.868840825860971</v>
      </c>
      <c r="L27" s="234">
        <f t="shared" si="11"/>
        <v>85.399401125158775</v>
      </c>
      <c r="M27" s="234">
        <f t="shared" si="11"/>
        <v>82.4499890648339</v>
      </c>
      <c r="N27" s="234">
        <f t="shared" si="11"/>
        <v>100</v>
      </c>
    </row>
    <row r="28" spans="2:14" x14ac:dyDescent="0.3">
      <c r="B28" s="8" t="s">
        <v>137</v>
      </c>
      <c r="C28" s="35">
        <v>4276.22</v>
      </c>
      <c r="D28" s="86">
        <v>3347.27</v>
      </c>
      <c r="E28" s="35">
        <v>2857.15</v>
      </c>
      <c r="F28" s="35">
        <v>3562.51</v>
      </c>
      <c r="G28" s="35">
        <v>3530.17</v>
      </c>
      <c r="I28" s="19" t="s">
        <v>352</v>
      </c>
      <c r="J28" s="234">
        <f>(C42/$G$42)*100</f>
        <v>146.15073513399162</v>
      </c>
      <c r="K28" s="234">
        <f t="shared" ref="K28:N28" si="12">(D42/$G$42)*100</f>
        <v>172.58444863395118</v>
      </c>
      <c r="L28" s="234">
        <f t="shared" si="12"/>
        <v>160.48071478792176</v>
      </c>
      <c r="M28" s="234">
        <f t="shared" si="12"/>
        <v>105.64898985185323</v>
      </c>
      <c r="N28" s="234">
        <f t="shared" si="12"/>
        <v>100</v>
      </c>
    </row>
    <row r="29" spans="2:14" x14ac:dyDescent="0.3">
      <c r="B29" s="22" t="s">
        <v>34</v>
      </c>
      <c r="C29" s="93">
        <v>269682.67</v>
      </c>
      <c r="D29" s="94">
        <v>232627.14</v>
      </c>
      <c r="E29" s="94">
        <v>207278.95</v>
      </c>
      <c r="F29" s="23">
        <v>192070.46</v>
      </c>
      <c r="G29" s="26">
        <v>191293.36</v>
      </c>
      <c r="I29" s="19" t="s">
        <v>353</v>
      </c>
      <c r="J29" s="234">
        <f>(C44/$G$44)*100</f>
        <v>147.15283184521346</v>
      </c>
      <c r="K29" s="234">
        <f t="shared" ref="K29:N29" si="13">(D44/$G$44)*100</f>
        <v>114.88644458064836</v>
      </c>
      <c r="L29" s="234">
        <f t="shared" si="13"/>
        <v>99.558947769476717</v>
      </c>
      <c r="M29" s="234">
        <f t="shared" si="13"/>
        <v>101.06266668875381</v>
      </c>
      <c r="N29" s="234">
        <f t="shared" si="13"/>
        <v>100</v>
      </c>
    </row>
    <row r="30" spans="2:14" x14ac:dyDescent="0.3">
      <c r="B30" s="7" t="s">
        <v>7</v>
      </c>
      <c r="C30" s="12"/>
      <c r="D30" s="20"/>
      <c r="F30" s="19"/>
      <c r="G30" s="6"/>
      <c r="I30" s="113" t="s">
        <v>354</v>
      </c>
      <c r="J30" s="236">
        <f>(C45/$G$45)*100</f>
        <v>138.36871518456994</v>
      </c>
      <c r="K30" s="236">
        <f t="shared" ref="K30:N30" si="14">(D45/$G$45)*100</f>
        <v>116.34146301467803</v>
      </c>
      <c r="L30" s="236">
        <f t="shared" si="14"/>
        <v>117.77710499603984</v>
      </c>
      <c r="M30" s="236">
        <f t="shared" si="14"/>
        <v>105.08813622969288</v>
      </c>
      <c r="N30" s="236">
        <f t="shared" si="14"/>
        <v>100</v>
      </c>
    </row>
    <row r="31" spans="2:14" x14ac:dyDescent="0.3">
      <c r="B31" s="8" t="s">
        <v>16</v>
      </c>
      <c r="C31" s="82">
        <v>11159.15</v>
      </c>
      <c r="D31" s="83">
        <v>9536.42</v>
      </c>
      <c r="E31" s="35">
        <v>6196.96</v>
      </c>
      <c r="F31" s="35">
        <v>6805.57</v>
      </c>
      <c r="G31" s="35">
        <v>7059.13</v>
      </c>
      <c r="I31" s="165" t="s">
        <v>18</v>
      </c>
      <c r="J31" s="237">
        <f>(C47/$G$47)*100</f>
        <v>139.81819262139985</v>
      </c>
      <c r="K31" s="237">
        <f t="shared" ref="K31:N31" si="15">(D47/$G$47)*100</f>
        <v>119.99424232959177</v>
      </c>
      <c r="L31" s="237">
        <f t="shared" si="15"/>
        <v>110.73183158726982</v>
      </c>
      <c r="M31" s="237">
        <f t="shared" si="15"/>
        <v>101.34420416004333</v>
      </c>
      <c r="N31" s="237">
        <f t="shared" si="15"/>
        <v>100</v>
      </c>
    </row>
    <row r="32" spans="2:14" x14ac:dyDescent="0.3">
      <c r="B32" s="8" t="s">
        <v>14</v>
      </c>
      <c r="C32" s="8"/>
      <c r="D32" s="20"/>
      <c r="E32" s="9"/>
      <c r="F32" s="19"/>
      <c r="G32" s="6"/>
      <c r="I32" s="19"/>
      <c r="J32" s="8"/>
      <c r="K32" s="8"/>
      <c r="L32" s="233"/>
      <c r="M32" s="134"/>
      <c r="N32" s="152"/>
    </row>
    <row r="33" spans="2:14" x14ac:dyDescent="0.3">
      <c r="B33" s="8" t="s">
        <v>138</v>
      </c>
      <c r="C33" s="6"/>
      <c r="D33" s="29"/>
      <c r="E33" s="9"/>
      <c r="F33" s="19"/>
      <c r="G33" s="6"/>
      <c r="I33" s="19"/>
      <c r="J33" s="8"/>
      <c r="K33" s="8"/>
      <c r="L33" s="233"/>
      <c r="M33" s="134"/>
      <c r="N33" s="152"/>
    </row>
    <row r="34" spans="2:14" x14ac:dyDescent="0.3">
      <c r="B34" s="8" t="s">
        <v>141</v>
      </c>
      <c r="C34" s="6">
        <v>900.69</v>
      </c>
      <c r="D34" s="83">
        <v>2339.2199999999998</v>
      </c>
      <c r="E34" s="35">
        <v>2088.62</v>
      </c>
      <c r="F34" s="19">
        <v>993.53</v>
      </c>
      <c r="G34" s="6">
        <v>931.12</v>
      </c>
      <c r="I34" s="19" t="s">
        <v>19</v>
      </c>
      <c r="J34" s="234">
        <f>(C50/$G$50)*100</f>
        <v>100.12164525203376</v>
      </c>
      <c r="K34" s="234">
        <f t="shared" ref="K34:N34" si="16">(D50/$G$50)*100</f>
        <v>100.10643959552952</v>
      </c>
      <c r="L34" s="234">
        <f t="shared" si="16"/>
        <v>100.06842545426899</v>
      </c>
      <c r="M34" s="234">
        <f t="shared" si="16"/>
        <v>100.03041131300843</v>
      </c>
      <c r="N34" s="234">
        <f t="shared" si="16"/>
        <v>100</v>
      </c>
    </row>
    <row r="35" spans="2:14" x14ac:dyDescent="0.3">
      <c r="B35" s="8" t="s">
        <v>142</v>
      </c>
      <c r="C35" s="82">
        <v>13905.64</v>
      </c>
      <c r="D35" s="83">
        <v>12382.87</v>
      </c>
      <c r="E35" s="35">
        <v>15482.11</v>
      </c>
      <c r="F35" s="35">
        <v>10500.75</v>
      </c>
      <c r="G35" s="35">
        <v>6012.98</v>
      </c>
      <c r="I35" s="19" t="s">
        <v>20</v>
      </c>
      <c r="J35" s="234">
        <f>(C51/$G$51)*100</f>
        <v>135.79725259073601</v>
      </c>
      <c r="K35" s="234">
        <f t="shared" ref="K35:N35" si="17">(D51/$G$51)*100</f>
        <v>130.53927075374355</v>
      </c>
      <c r="L35" s="234">
        <f t="shared" si="17"/>
        <v>112.91191834437507</v>
      </c>
      <c r="M35" s="234">
        <f t="shared" si="17"/>
        <v>97.638145667175522</v>
      </c>
      <c r="N35" s="234">
        <f t="shared" si="17"/>
        <v>100</v>
      </c>
    </row>
    <row r="36" spans="2:14" x14ac:dyDescent="0.3">
      <c r="B36" s="8" t="s">
        <v>135</v>
      </c>
      <c r="C36" s="82">
        <v>3662.84</v>
      </c>
      <c r="D36" s="83">
        <v>4022.72</v>
      </c>
      <c r="E36" s="35">
        <v>4717.99</v>
      </c>
      <c r="F36" s="83">
        <v>5189.9799999999996</v>
      </c>
      <c r="G36" s="82">
        <v>4931.49</v>
      </c>
      <c r="I36" s="44" t="s">
        <v>21</v>
      </c>
      <c r="J36" s="238">
        <f>(C54/$G$54)*100</f>
        <v>138.84986912872606</v>
      </c>
      <c r="K36" s="238">
        <f t="shared" ref="K36:N36" si="18">(D54/$G$54)*100</f>
        <v>131.23808630839079</v>
      </c>
      <c r="L36" s="238">
        <f t="shared" si="18"/>
        <v>115.85988131777263</v>
      </c>
      <c r="M36" s="238">
        <f t="shared" si="18"/>
        <v>102.78534964715024</v>
      </c>
      <c r="N36" s="238">
        <f t="shared" si="18"/>
        <v>100</v>
      </c>
    </row>
    <row r="37" spans="2:14" x14ac:dyDescent="0.3">
      <c r="B37" s="8" t="s">
        <v>77</v>
      </c>
      <c r="C37" s="82">
        <v>5915.1</v>
      </c>
      <c r="D37" s="82">
        <v>5429.36</v>
      </c>
      <c r="E37" s="35">
        <v>4341.78</v>
      </c>
      <c r="F37" s="35">
        <v>5651.5</v>
      </c>
      <c r="G37" s="29">
        <v>6690.07</v>
      </c>
      <c r="I37" s="19"/>
      <c r="J37" s="8"/>
      <c r="K37" s="8"/>
      <c r="L37" s="233"/>
      <c r="M37" s="134"/>
      <c r="N37" s="152"/>
    </row>
    <row r="38" spans="2:14" x14ac:dyDescent="0.3">
      <c r="B38" s="8" t="s">
        <v>139</v>
      </c>
      <c r="C38" s="82">
        <v>2312.56</v>
      </c>
      <c r="D38" s="82">
        <v>2240.6999999999998</v>
      </c>
      <c r="E38" s="35">
        <v>2617.04</v>
      </c>
      <c r="F38" s="20">
        <v>3072.8</v>
      </c>
      <c r="G38" s="35">
        <v>1223.69</v>
      </c>
      <c r="I38" s="19"/>
      <c r="J38" s="8"/>
      <c r="K38" s="8"/>
      <c r="L38" s="233"/>
      <c r="M38" s="134"/>
      <c r="N38" s="152"/>
    </row>
    <row r="39" spans="2:14" x14ac:dyDescent="0.3">
      <c r="B39" s="8" t="s">
        <v>143</v>
      </c>
      <c r="C39" s="82">
        <v>1400.82</v>
      </c>
      <c r="D39" s="83">
        <v>1011.85</v>
      </c>
      <c r="E39" s="35">
        <v>2348.6</v>
      </c>
      <c r="F39">
        <v>740.3</v>
      </c>
      <c r="G39" s="29">
        <v>684.54</v>
      </c>
      <c r="I39" s="19"/>
      <c r="J39" s="8"/>
      <c r="K39" s="8"/>
      <c r="L39" s="233"/>
      <c r="M39" s="134"/>
      <c r="N39" s="152"/>
    </row>
    <row r="40" spans="2:14" x14ac:dyDescent="0.3">
      <c r="B40" s="8" t="s">
        <v>78</v>
      </c>
      <c r="C40" s="82">
        <v>22342.080000000002</v>
      </c>
      <c r="D40" s="83">
        <v>14247.01</v>
      </c>
      <c r="E40" s="35">
        <v>14682.07</v>
      </c>
      <c r="F40" s="83">
        <v>14175</v>
      </c>
      <c r="G40" s="82">
        <v>17192.240000000002</v>
      </c>
      <c r="I40" s="330" t="s">
        <v>22</v>
      </c>
      <c r="J40" s="244">
        <f>(C58/$G$58)*100</f>
        <v>117.68751069486171</v>
      </c>
      <c r="K40" s="244">
        <f t="shared" ref="K40:N40" si="19">(D58/$G$58)*100</f>
        <v>82.111769904791473</v>
      </c>
      <c r="L40" s="244">
        <f t="shared" si="19"/>
        <v>92.594569038970747</v>
      </c>
      <c r="M40" s="244">
        <f t="shared" si="19"/>
        <v>103.6337126738301</v>
      </c>
      <c r="N40" s="244">
        <f t="shared" si="19"/>
        <v>100</v>
      </c>
    </row>
    <row r="41" spans="2:14" x14ac:dyDescent="0.3">
      <c r="B41" s="8"/>
      <c r="C41" s="82"/>
      <c r="D41" s="83"/>
      <c r="E41" s="35"/>
      <c r="F41" s="35"/>
      <c r="G41" s="35"/>
      <c r="I41" s="330"/>
      <c r="J41" s="246" t="s">
        <v>363</v>
      </c>
      <c r="K41" s="246" t="s">
        <v>363</v>
      </c>
      <c r="L41" s="246" t="s">
        <v>363</v>
      </c>
      <c r="M41" s="246" t="s">
        <v>363</v>
      </c>
      <c r="N41" s="246" t="s">
        <v>363</v>
      </c>
    </row>
    <row r="42" spans="2:14" x14ac:dyDescent="0.3">
      <c r="B42" s="8" t="s">
        <v>79</v>
      </c>
      <c r="C42" s="82">
        <v>2348.92</v>
      </c>
      <c r="D42" s="83">
        <v>2773.76</v>
      </c>
      <c r="E42" s="35">
        <v>2579.23</v>
      </c>
      <c r="F42" s="35">
        <v>1697.98</v>
      </c>
      <c r="G42" s="35">
        <v>1607.19</v>
      </c>
      <c r="I42" s="330"/>
      <c r="J42" s="244">
        <f>(C60/$G$60)*100</f>
        <v>177.89475724114055</v>
      </c>
      <c r="K42" s="244">
        <f t="shared" ref="K42:N42" si="20">(D60/$G$60)*100</f>
        <v>153.18937240439737</v>
      </c>
      <c r="L42" s="244">
        <f t="shared" si="20"/>
        <v>130.0555516030484</v>
      </c>
      <c r="M42" s="244">
        <f t="shared" si="20"/>
        <v>103.30856704154132</v>
      </c>
      <c r="N42" s="244">
        <f t="shared" si="20"/>
        <v>100</v>
      </c>
    </row>
    <row r="43" spans="2:14" x14ac:dyDescent="0.3">
      <c r="B43" s="8" t="s">
        <v>15</v>
      </c>
      <c r="C43" s="82">
        <v>3.27</v>
      </c>
      <c r="D43" s="83">
        <v>0.11</v>
      </c>
      <c r="E43">
        <v>0.12</v>
      </c>
      <c r="F43">
        <v>0.38</v>
      </c>
      <c r="G43">
        <v>38.71</v>
      </c>
      <c r="I43" s="330"/>
      <c r="J43" s="244">
        <f>(C61/$G$61)*100</f>
        <v>114.28858175144808</v>
      </c>
      <c r="K43" s="244">
        <f t="shared" ref="K43:N43" si="21">(D61/$G$61)*100</f>
        <v>122.93972587027584</v>
      </c>
      <c r="L43" s="244">
        <f t="shared" si="21"/>
        <v>156.10770201296094</v>
      </c>
      <c r="M43" s="244">
        <f t="shared" si="21"/>
        <v>96.103114067786876</v>
      </c>
      <c r="N43" s="244">
        <f t="shared" si="21"/>
        <v>100</v>
      </c>
    </row>
    <row r="44" spans="2:14" x14ac:dyDescent="0.3">
      <c r="B44" s="8" t="s">
        <v>17</v>
      </c>
      <c r="C44" s="82">
        <v>3553.27</v>
      </c>
      <c r="D44" s="83">
        <v>2774.14</v>
      </c>
      <c r="E44" s="35">
        <v>2404.0300000000002</v>
      </c>
      <c r="F44" s="35">
        <v>2440.34</v>
      </c>
      <c r="G44" s="35">
        <v>2414.6799999999998</v>
      </c>
      <c r="I44" s="19" t="s">
        <v>23</v>
      </c>
      <c r="J44" s="234">
        <f>(C62/$G$62)*100</f>
        <v>303.59167492566894</v>
      </c>
      <c r="K44" s="234">
        <f t="shared" ref="K44:N44" si="22">(D62/$G$62)*100</f>
        <v>290.56095143706642</v>
      </c>
      <c r="L44" s="234">
        <f t="shared" si="22"/>
        <v>168.31714568880079</v>
      </c>
      <c r="M44" s="234">
        <f t="shared" si="22"/>
        <v>124.87215064420218</v>
      </c>
      <c r="N44" s="234">
        <f t="shared" si="22"/>
        <v>100</v>
      </c>
    </row>
    <row r="45" spans="2:14" x14ac:dyDescent="0.3">
      <c r="B45" s="22" t="s">
        <v>35</v>
      </c>
      <c r="C45" s="91">
        <v>67504.34</v>
      </c>
      <c r="D45" s="95">
        <v>56758.16</v>
      </c>
      <c r="E45" s="91">
        <v>57458.55</v>
      </c>
      <c r="F45" s="119">
        <f>SUM(F31:F44)</f>
        <v>51268.130000000005</v>
      </c>
      <c r="G45" s="95">
        <f>SUM(G31:G44)</f>
        <v>48785.840000000004</v>
      </c>
      <c r="I45" s="19" t="s">
        <v>355</v>
      </c>
      <c r="J45" s="234">
        <f>(C63/$G$63)*100</f>
        <v>95.483320856110836</v>
      </c>
      <c r="K45" s="234">
        <f t="shared" ref="K45:N45" si="23">(D63/$G$63)*100</f>
        <v>96.425219218390595</v>
      </c>
      <c r="L45" s="234">
        <f t="shared" si="23"/>
        <v>95.633386785603619</v>
      </c>
      <c r="M45" s="234">
        <f t="shared" si="23"/>
        <v>79.127378494093477</v>
      </c>
      <c r="N45" s="234">
        <f t="shared" si="23"/>
        <v>100</v>
      </c>
    </row>
    <row r="46" spans="2:14" x14ac:dyDescent="0.3">
      <c r="B46" t="s">
        <v>144</v>
      </c>
      <c r="C46" s="88">
        <v>18.02</v>
      </c>
      <c r="D46" s="88">
        <v>9.5299999999999994</v>
      </c>
      <c r="E46" s="35">
        <v>2318.81</v>
      </c>
      <c r="F46" s="119">
        <v>1077.21</v>
      </c>
      <c r="G46" s="35">
        <v>1094.73</v>
      </c>
      <c r="I46" s="168" t="s">
        <v>356</v>
      </c>
      <c r="J46" s="234">
        <f>(C64/$G$64)*100</f>
        <v>18.660232103872225</v>
      </c>
      <c r="K46" s="234">
        <f t="shared" ref="K46:N46" si="24">(D64/$G$64)*100</f>
        <v>87.693898655635977</v>
      </c>
      <c r="L46" s="234">
        <f t="shared" si="24"/>
        <v>151.89015282086635</v>
      </c>
      <c r="M46" s="234">
        <f t="shared" si="24"/>
        <v>146.0301045616454</v>
      </c>
      <c r="N46" s="234">
        <f t="shared" si="24"/>
        <v>100</v>
      </c>
    </row>
    <row r="47" spans="2:14" ht="15" thickBot="1" x14ac:dyDescent="0.35">
      <c r="B47" s="11" t="s">
        <v>18</v>
      </c>
      <c r="C47" s="96">
        <v>337205.03</v>
      </c>
      <c r="D47" s="97">
        <v>289394.83</v>
      </c>
      <c r="E47" s="118">
        <v>267056.31</v>
      </c>
      <c r="F47" s="118">
        <v>244415.8</v>
      </c>
      <c r="G47" s="100">
        <v>241173.93</v>
      </c>
      <c r="I47" s="77" t="s">
        <v>357</v>
      </c>
      <c r="J47" s="236">
        <f>(C65/$G$65)*100</f>
        <v>139.34379078373894</v>
      </c>
      <c r="K47" s="236">
        <f t="shared" ref="K47:N47" si="25">(D65/$G$65)*100</f>
        <v>111.02095385362354</v>
      </c>
      <c r="L47" s="236">
        <f t="shared" si="25"/>
        <v>108.27676351798956</v>
      </c>
      <c r="M47" s="236">
        <f t="shared" si="25"/>
        <v>102.80668168435554</v>
      </c>
      <c r="N47" s="236">
        <f t="shared" si="25"/>
        <v>100</v>
      </c>
    </row>
    <row r="48" spans="2:14" ht="15" thickTop="1" x14ac:dyDescent="0.3">
      <c r="B48" s="5" t="s">
        <v>8</v>
      </c>
      <c r="C48" s="12"/>
      <c r="D48" s="20"/>
      <c r="F48" s="19"/>
      <c r="G48" s="6"/>
      <c r="I48" s="19"/>
      <c r="J48" s="8"/>
      <c r="K48" s="8"/>
      <c r="L48" s="233"/>
      <c r="M48" s="134"/>
      <c r="N48" s="152"/>
    </row>
    <row r="49" spans="2:14" x14ac:dyDescent="0.3">
      <c r="B49" s="7" t="s">
        <v>9</v>
      </c>
      <c r="C49" s="12"/>
      <c r="D49" s="20"/>
      <c r="F49" s="19"/>
      <c r="G49" s="6"/>
      <c r="I49" s="19"/>
      <c r="J49" s="8"/>
      <c r="K49" s="8"/>
      <c r="L49" s="233"/>
      <c r="M49" s="134"/>
      <c r="N49" s="152"/>
    </row>
    <row r="50" spans="2:14" x14ac:dyDescent="0.3">
      <c r="B50" s="8" t="s">
        <v>19</v>
      </c>
      <c r="C50" s="6">
        <v>131.69</v>
      </c>
      <c r="D50" s="19">
        <v>131.66999999999999</v>
      </c>
      <c r="E50">
        <v>131.62</v>
      </c>
      <c r="F50">
        <v>131.57</v>
      </c>
      <c r="G50">
        <v>131.53</v>
      </c>
      <c r="I50" s="170"/>
      <c r="J50" s="234"/>
      <c r="K50" s="234"/>
      <c r="L50" s="234"/>
      <c r="M50" s="234"/>
      <c r="N50" s="234"/>
    </row>
    <row r="51" spans="2:14" x14ac:dyDescent="0.3">
      <c r="B51" s="8" t="s">
        <v>20</v>
      </c>
      <c r="C51" s="82">
        <v>78610.3</v>
      </c>
      <c r="D51" s="83">
        <v>75566.559999999998</v>
      </c>
      <c r="E51" s="35">
        <v>65362.44</v>
      </c>
      <c r="F51" s="35">
        <v>56520.76</v>
      </c>
      <c r="G51" s="35">
        <v>57887.99</v>
      </c>
      <c r="I51" s="170"/>
      <c r="J51" s="239"/>
      <c r="K51" s="239"/>
      <c r="L51" s="233"/>
      <c r="M51" s="134"/>
      <c r="N51" s="234"/>
    </row>
    <row r="52" spans="2:14" x14ac:dyDescent="0.3">
      <c r="B52" s="12" t="s">
        <v>145</v>
      </c>
      <c r="C52" s="99">
        <v>78741.990000000005</v>
      </c>
      <c r="D52" s="43">
        <v>75698.23</v>
      </c>
      <c r="E52" s="35">
        <v>65494.06</v>
      </c>
      <c r="F52" s="35">
        <v>56652.33</v>
      </c>
      <c r="G52" s="35">
        <v>58019.519999999997</v>
      </c>
      <c r="I52" s="317" t="s">
        <v>83</v>
      </c>
      <c r="J52" s="234">
        <f>(C73/$G$73)*100</f>
        <v>966.77667766776688</v>
      </c>
      <c r="K52" s="234">
        <f t="shared" ref="K52:N52" si="26">(D73/$G$73)*100</f>
        <v>671.83718371837188</v>
      </c>
      <c r="L52" s="234">
        <f t="shared" si="26"/>
        <v>415.12651265126516</v>
      </c>
      <c r="M52" s="234">
        <f t="shared" si="26"/>
        <v>228.68536853685367</v>
      </c>
      <c r="N52" s="234">
        <f t="shared" si="26"/>
        <v>100</v>
      </c>
    </row>
    <row r="53" spans="2:14" x14ac:dyDescent="0.3">
      <c r="B53" s="8" t="s">
        <v>146</v>
      </c>
      <c r="C53" s="89">
        <v>44170.83</v>
      </c>
      <c r="D53" s="86">
        <v>40476.480000000003</v>
      </c>
      <c r="E53" s="35">
        <v>37067.54</v>
      </c>
      <c r="F53" s="35">
        <v>34335.42</v>
      </c>
      <c r="G53" s="35">
        <v>30502.58</v>
      </c>
      <c r="I53" s="317"/>
      <c r="J53" s="234">
        <f>(C74/$G$74)*100</f>
        <v>214.99948737792153</v>
      </c>
      <c r="K53" s="234">
        <f t="shared" ref="K53:N53" si="27">(D74/$G$74)*100</f>
        <v>184.3646958828179</v>
      </c>
      <c r="L53" s="234">
        <f t="shared" si="27"/>
        <v>131.82027139205005</v>
      </c>
      <c r="M53" s="234">
        <f t="shared" si="27"/>
        <v>109.228851032024</v>
      </c>
      <c r="N53" s="234">
        <f t="shared" si="27"/>
        <v>100</v>
      </c>
    </row>
    <row r="54" spans="2:14" x14ac:dyDescent="0.3">
      <c r="B54" s="22" t="s">
        <v>21</v>
      </c>
      <c r="C54" s="93">
        <v>122912.82</v>
      </c>
      <c r="D54" s="93">
        <v>116174.71</v>
      </c>
      <c r="E54" s="115">
        <v>102561.60000000001</v>
      </c>
      <c r="F54" s="35">
        <v>90987.75</v>
      </c>
      <c r="G54" s="35">
        <v>88522.1</v>
      </c>
      <c r="I54" s="170" t="s">
        <v>359</v>
      </c>
      <c r="J54" s="234">
        <f>(C75/$G$75)*100</f>
        <v>68.37394455328814</v>
      </c>
      <c r="K54" s="234">
        <f t="shared" ref="K54:N54" si="28">(D75/$G$75)*100</f>
        <v>56.633250689182866</v>
      </c>
      <c r="L54" s="234">
        <f t="shared" si="28"/>
        <v>150.12701770203026</v>
      </c>
      <c r="M54" s="234">
        <f t="shared" si="28"/>
        <v>124.2820535048633</v>
      </c>
      <c r="N54" s="234">
        <f t="shared" si="28"/>
        <v>100</v>
      </c>
    </row>
    <row r="55" spans="2:14" x14ac:dyDescent="0.3">
      <c r="B55" s="7" t="s">
        <v>10</v>
      </c>
      <c r="C55" s="12"/>
      <c r="D55" s="20"/>
      <c r="F55" s="27"/>
      <c r="G55" s="6"/>
      <c r="I55" s="19" t="s">
        <v>360</v>
      </c>
      <c r="J55" s="234">
        <f>(C76/$G$76)*100</f>
        <v>134.70877595301411</v>
      </c>
      <c r="K55" s="234">
        <f t="shared" ref="K55:N55" si="29">(D76/$G$76)*100</f>
        <v>134.8525205521299</v>
      </c>
      <c r="L55" s="234">
        <f t="shared" si="29"/>
        <v>116.90892618390518</v>
      </c>
      <c r="M55" s="234">
        <f t="shared" si="29"/>
        <v>95.433441228964014</v>
      </c>
      <c r="N55" s="234">
        <f t="shared" si="29"/>
        <v>100</v>
      </c>
    </row>
    <row r="56" spans="2:14" ht="13.8" customHeight="1" x14ac:dyDescent="0.3">
      <c r="B56" s="12" t="s">
        <v>11</v>
      </c>
      <c r="C56" s="12"/>
      <c r="D56" s="20"/>
      <c r="F56" s="19"/>
      <c r="G56" s="6"/>
      <c r="I56" s="19" t="s">
        <v>23</v>
      </c>
      <c r="J56" s="234">
        <f>(C77/$G$77)*100</f>
        <v>58.693020724167908</v>
      </c>
      <c r="K56" s="234">
        <f t="shared" ref="K56:N56" si="30">(D77/$G$77)*100</f>
        <v>66.270218452714616</v>
      </c>
      <c r="L56" s="234">
        <f t="shared" si="30"/>
        <v>87.75072506153883</v>
      </c>
      <c r="M56" s="234">
        <f t="shared" si="30"/>
        <v>106.57145410380768</v>
      </c>
      <c r="N56" s="234">
        <f t="shared" si="30"/>
        <v>100</v>
      </c>
    </row>
    <row r="57" spans="2:14" x14ac:dyDescent="0.3">
      <c r="B57" s="8" t="s">
        <v>22</v>
      </c>
      <c r="C57" s="8"/>
      <c r="D57" s="20"/>
      <c r="F57" s="19"/>
      <c r="G57" s="6"/>
      <c r="I57" s="19" t="s">
        <v>361</v>
      </c>
      <c r="J57" s="234">
        <f>(C78/$G$78)*100</f>
        <v>239.63946029639462</v>
      </c>
      <c r="K57" s="234">
        <f t="shared" ref="K57:N57" si="31">(D78/$G$78)*100</f>
        <v>112.54036717540367</v>
      </c>
      <c r="L57" s="234">
        <f t="shared" si="31"/>
        <v>137.49281132492811</v>
      </c>
      <c r="M57" s="234">
        <f t="shared" si="31"/>
        <v>124.12408759124088</v>
      </c>
      <c r="N57" s="234">
        <f t="shared" si="31"/>
        <v>100</v>
      </c>
    </row>
    <row r="58" spans="2:14" x14ac:dyDescent="0.3">
      <c r="B58" s="8" t="s">
        <v>148</v>
      </c>
      <c r="C58" s="82">
        <v>66712.460000000006</v>
      </c>
      <c r="D58" s="83">
        <v>46545.96</v>
      </c>
      <c r="E58" s="35">
        <v>52488.25</v>
      </c>
      <c r="F58" s="35">
        <v>58745.91</v>
      </c>
      <c r="G58" s="35">
        <v>56686.1</v>
      </c>
      <c r="I58" s="113" t="s">
        <v>362</v>
      </c>
      <c r="J58" s="236">
        <f>(C79/$G$79)*100</f>
        <v>144.03086805264266</v>
      </c>
      <c r="K58" s="236">
        <f t="shared" ref="K58:N58" si="32">(D79/$G$79)*100</f>
        <v>119.90208476389628</v>
      </c>
      <c r="L58" s="236">
        <f t="shared" si="32"/>
        <v>106.51972131339403</v>
      </c>
      <c r="M58" s="236">
        <f t="shared" si="32"/>
        <v>95.568149687891307</v>
      </c>
      <c r="N58" s="236">
        <f t="shared" si="32"/>
        <v>100</v>
      </c>
    </row>
    <row r="59" spans="2:14" x14ac:dyDescent="0.3">
      <c r="B59" s="8" t="s">
        <v>147</v>
      </c>
      <c r="C59" s="82">
        <v>1410.73</v>
      </c>
      <c r="D59" s="83">
        <v>1319.38</v>
      </c>
      <c r="E59" s="114">
        <v>1447.48</v>
      </c>
      <c r="F59" s="35">
        <v>1366.14</v>
      </c>
      <c r="G59" s="29"/>
      <c r="I59" s="44" t="s">
        <v>30</v>
      </c>
      <c r="J59" s="238">
        <f>(C81/$G$81)*100</f>
        <v>140.83085205499924</v>
      </c>
      <c r="K59" s="238">
        <f t="shared" ref="K59:N59" si="33">(D81/$G$81)*100</f>
        <v>113.83865560334281</v>
      </c>
      <c r="L59" s="238">
        <f t="shared" si="33"/>
        <v>107.71930963691987</v>
      </c>
      <c r="M59" s="238">
        <f t="shared" si="33"/>
        <v>100.51012458167344</v>
      </c>
      <c r="N59" s="238">
        <f t="shared" si="33"/>
        <v>100</v>
      </c>
    </row>
    <row r="60" spans="2:14" x14ac:dyDescent="0.3">
      <c r="B60" s="19" t="s">
        <v>150</v>
      </c>
      <c r="C60" s="82">
        <v>67012.03</v>
      </c>
      <c r="D60" s="83">
        <v>57705.64</v>
      </c>
      <c r="E60" s="35">
        <v>48991.25</v>
      </c>
      <c r="F60" s="35">
        <v>38915.800000000003</v>
      </c>
      <c r="G60" s="35">
        <v>37669.480000000003</v>
      </c>
      <c r="I60" s="240" t="s">
        <v>29</v>
      </c>
      <c r="J60" s="237">
        <f>(C82/$G$82)*100</f>
        <v>139.81819262139985</v>
      </c>
      <c r="K60" s="237">
        <f t="shared" ref="K60:N60" si="34">(D82/$G$82)*100</f>
        <v>119.99424232959177</v>
      </c>
      <c r="L60" s="237">
        <f t="shared" si="34"/>
        <v>110.73183158726982</v>
      </c>
      <c r="M60" s="237">
        <f t="shared" si="34"/>
        <v>101.34420416004333</v>
      </c>
      <c r="N60" s="237">
        <f t="shared" si="34"/>
        <v>100</v>
      </c>
    </row>
    <row r="61" spans="2:14" x14ac:dyDescent="0.3">
      <c r="B61" s="8" t="s">
        <v>149</v>
      </c>
      <c r="C61" s="6">
        <v>398.57</v>
      </c>
      <c r="D61" s="19">
        <v>428.74</v>
      </c>
      <c r="E61">
        <v>544.41</v>
      </c>
      <c r="F61" s="19">
        <v>335.15</v>
      </c>
      <c r="G61">
        <v>348.74</v>
      </c>
      <c r="I61" s="19"/>
      <c r="J61" s="8"/>
      <c r="K61" s="8"/>
      <c r="L61" s="233"/>
      <c r="M61" s="134"/>
      <c r="N61" s="152"/>
    </row>
    <row r="62" spans="2:14" x14ac:dyDescent="0.3">
      <c r="B62" s="8" t="s">
        <v>23</v>
      </c>
      <c r="C62" s="6">
        <v>765.81</v>
      </c>
      <c r="D62" s="19">
        <v>732.94</v>
      </c>
      <c r="E62">
        <v>424.58</v>
      </c>
      <c r="F62">
        <v>314.99</v>
      </c>
      <c r="G62">
        <v>252.25</v>
      </c>
      <c r="I62" s="4"/>
      <c r="J62" s="155"/>
      <c r="K62" s="155"/>
      <c r="L62" s="241"/>
      <c r="M62" s="242"/>
      <c r="N62" s="243"/>
    </row>
    <row r="63" spans="2:14" x14ac:dyDescent="0.3">
      <c r="B63" s="8" t="s">
        <v>24</v>
      </c>
      <c r="C63" s="82">
        <v>8443.3799999999992</v>
      </c>
      <c r="D63" s="83">
        <v>8526.67</v>
      </c>
      <c r="E63" s="35">
        <v>8456.65</v>
      </c>
      <c r="F63" s="35">
        <v>6997.06</v>
      </c>
      <c r="G63" s="35">
        <v>8842.7800000000007</v>
      </c>
    </row>
    <row r="64" spans="2:14" x14ac:dyDescent="0.3">
      <c r="B64" s="8" t="s">
        <v>25</v>
      </c>
      <c r="C64" s="17">
        <v>16.239999999999998</v>
      </c>
      <c r="D64" s="4">
        <v>76.319999999999993</v>
      </c>
      <c r="E64">
        <v>132.19</v>
      </c>
      <c r="F64">
        <v>127.09</v>
      </c>
      <c r="G64">
        <v>87.03</v>
      </c>
    </row>
    <row r="65" spans="2:7" x14ac:dyDescent="0.3">
      <c r="B65" s="22" t="s">
        <v>36</v>
      </c>
      <c r="C65" s="23">
        <v>144759.22</v>
      </c>
      <c r="D65" s="23">
        <v>115335.65</v>
      </c>
      <c r="E65" s="93">
        <v>112484.81</v>
      </c>
      <c r="F65" s="23">
        <f>SUM(F58:F64)</f>
        <v>106802.14</v>
      </c>
      <c r="G65" s="26">
        <f>SUM(G58:G64)</f>
        <v>103886.38</v>
      </c>
    </row>
    <row r="66" spans="2:7" x14ac:dyDescent="0.3">
      <c r="B66" s="12" t="s">
        <v>26</v>
      </c>
      <c r="C66" s="12"/>
      <c r="D66" s="20"/>
      <c r="F66" s="19"/>
      <c r="G66" s="6"/>
    </row>
    <row r="67" spans="2:7" x14ac:dyDescent="0.3">
      <c r="B67" s="8" t="s">
        <v>22</v>
      </c>
      <c r="C67" s="8"/>
      <c r="D67" s="20"/>
      <c r="F67" s="19"/>
      <c r="G67" s="6"/>
    </row>
    <row r="68" spans="2:7" x14ac:dyDescent="0.3">
      <c r="B68" s="8" t="s">
        <v>148</v>
      </c>
      <c r="C68" s="83">
        <v>34635.46</v>
      </c>
      <c r="D68" s="83">
        <v>26457.29</v>
      </c>
      <c r="E68" s="35">
        <v>10037.040000000001</v>
      </c>
      <c r="F68" s="35">
        <v>11988.13</v>
      </c>
      <c r="G68" s="35">
        <v>18378.52</v>
      </c>
    </row>
    <row r="69" spans="2:7" x14ac:dyDescent="0.3">
      <c r="B69" s="8" t="s">
        <v>147</v>
      </c>
      <c r="C69" s="6">
        <v>279.91000000000003</v>
      </c>
      <c r="D69" s="19">
        <v>238.16</v>
      </c>
      <c r="E69">
        <v>221.13</v>
      </c>
      <c r="F69">
        <v>195.7</v>
      </c>
      <c r="G69" s="6"/>
    </row>
    <row r="70" spans="2:7" x14ac:dyDescent="0.3">
      <c r="B70" s="8" t="s">
        <v>151</v>
      </c>
      <c r="C70" s="19"/>
      <c r="D70" s="83">
        <v>183.4</v>
      </c>
      <c r="F70" s="19"/>
      <c r="G70" s="6"/>
    </row>
    <row r="71" spans="2:7" x14ac:dyDescent="0.3">
      <c r="B71" s="8" t="s">
        <v>150</v>
      </c>
      <c r="C71" s="82">
        <v>2077.9</v>
      </c>
      <c r="D71" s="83">
        <v>3167.74</v>
      </c>
      <c r="E71" s="35">
        <v>3485.22</v>
      </c>
      <c r="F71" s="35">
        <v>2348.7399999999998</v>
      </c>
      <c r="G71" s="35">
        <v>2480.54</v>
      </c>
    </row>
    <row r="72" spans="2:7" x14ac:dyDescent="0.3">
      <c r="B72" s="8" t="s">
        <v>152</v>
      </c>
      <c r="C72" s="6"/>
      <c r="D72" s="20"/>
      <c r="F72" s="19"/>
      <c r="G72" s="6"/>
    </row>
    <row r="73" spans="2:7" x14ac:dyDescent="0.3">
      <c r="B73" s="13" t="s">
        <v>31</v>
      </c>
      <c r="C73" s="6">
        <v>351.52</v>
      </c>
      <c r="D73" s="19">
        <v>244.28</v>
      </c>
      <c r="E73">
        <v>150.94</v>
      </c>
      <c r="F73">
        <v>83.15</v>
      </c>
      <c r="G73">
        <v>36.36</v>
      </c>
    </row>
    <row r="74" spans="2:7" ht="28.8" x14ac:dyDescent="0.3">
      <c r="B74" s="14" t="s">
        <v>32</v>
      </c>
      <c r="C74" s="82">
        <v>13001.75</v>
      </c>
      <c r="D74" s="83">
        <v>11149.16</v>
      </c>
      <c r="E74" s="35">
        <v>7971.62</v>
      </c>
      <c r="F74" s="35">
        <v>6605.44</v>
      </c>
      <c r="G74" s="35">
        <v>6047.34</v>
      </c>
    </row>
    <row r="75" spans="2:7" x14ac:dyDescent="0.3">
      <c r="B75" s="8" t="s">
        <v>149</v>
      </c>
      <c r="C75" s="82">
        <v>9859.01</v>
      </c>
      <c r="D75" s="83">
        <v>8166.09</v>
      </c>
      <c r="E75" s="35">
        <v>21647.19</v>
      </c>
      <c r="F75" s="35">
        <v>17920.54</v>
      </c>
      <c r="G75" s="35">
        <v>14419.25</v>
      </c>
    </row>
    <row r="76" spans="2:7" x14ac:dyDescent="0.3">
      <c r="B76" s="8" t="s">
        <v>153</v>
      </c>
      <c r="C76" s="82">
        <v>6438.15</v>
      </c>
      <c r="D76" s="83">
        <v>6445.02</v>
      </c>
      <c r="E76" s="35">
        <v>5587.44</v>
      </c>
      <c r="F76" s="35">
        <v>4561.0600000000004</v>
      </c>
      <c r="G76" s="35">
        <v>4779.3100000000004</v>
      </c>
    </row>
    <row r="77" spans="2:7" x14ac:dyDescent="0.3">
      <c r="B77" s="8" t="s">
        <v>23</v>
      </c>
      <c r="C77" s="6">
        <v>722.47</v>
      </c>
      <c r="D77" s="19">
        <v>815.74</v>
      </c>
      <c r="E77" s="35">
        <v>1080.1500000000001</v>
      </c>
      <c r="F77" s="35">
        <v>1311.82</v>
      </c>
      <c r="G77" s="35">
        <v>1230.93</v>
      </c>
    </row>
    <row r="78" spans="2:7" x14ac:dyDescent="0.3">
      <c r="B78" s="8" t="s">
        <v>28</v>
      </c>
      <c r="C78" s="89">
        <v>2166.8200000000002</v>
      </c>
      <c r="D78" s="86">
        <v>1017.59</v>
      </c>
      <c r="E78" s="35">
        <v>1243.21</v>
      </c>
      <c r="F78" s="35">
        <v>1122.33</v>
      </c>
      <c r="G78">
        <v>904.2</v>
      </c>
    </row>
    <row r="79" spans="2:7" x14ac:dyDescent="0.3">
      <c r="B79" s="22" t="s">
        <v>37</v>
      </c>
      <c r="C79" s="35">
        <v>69532.990000000005</v>
      </c>
      <c r="D79" s="35">
        <v>57884.47</v>
      </c>
      <c r="E79" s="35">
        <v>51423.94</v>
      </c>
      <c r="F79" s="143">
        <f>SUM(F68:F78)</f>
        <v>46136.909999999996</v>
      </c>
      <c r="G79" s="80">
        <f>SUM(G68:G78)</f>
        <v>48276.45</v>
      </c>
    </row>
    <row r="80" spans="2:7" x14ac:dyDescent="0.3">
      <c r="B80" t="s">
        <v>278</v>
      </c>
      <c r="C80" s="35"/>
      <c r="D80" s="35"/>
      <c r="E80">
        <v>585.96</v>
      </c>
      <c r="F80">
        <v>489</v>
      </c>
      <c r="G80">
        <v>489</v>
      </c>
    </row>
    <row r="81" spans="2:14" x14ac:dyDescent="0.3">
      <c r="B81" s="12" t="s">
        <v>30</v>
      </c>
      <c r="C81" s="26">
        <f>C65+C79</f>
        <v>214292.21000000002</v>
      </c>
      <c r="D81" s="26">
        <f t="shared" ref="D81:G81" si="35">D65+D79</f>
        <v>173220.12</v>
      </c>
      <c r="E81" s="26">
        <f t="shared" si="35"/>
        <v>163908.75</v>
      </c>
      <c r="F81" s="26">
        <f t="shared" si="35"/>
        <v>152939.04999999999</v>
      </c>
      <c r="G81" s="26">
        <f t="shared" si="35"/>
        <v>152162.83000000002</v>
      </c>
    </row>
    <row r="82" spans="2:14" ht="15" thickBot="1" x14ac:dyDescent="0.35">
      <c r="B82" s="11" t="s">
        <v>29</v>
      </c>
      <c r="C82" s="100">
        <v>337205.03</v>
      </c>
      <c r="D82" s="100">
        <v>289394.83</v>
      </c>
      <c r="E82" s="100">
        <v>267056.31</v>
      </c>
      <c r="F82" s="100">
        <v>244415.8</v>
      </c>
      <c r="G82" s="100">
        <v>241173.93</v>
      </c>
    </row>
    <row r="83" spans="2:14" ht="15" thickTop="1" x14ac:dyDescent="0.3">
      <c r="B83" s="8"/>
      <c r="C83" s="8"/>
      <c r="D83" s="20"/>
      <c r="F83" s="19"/>
      <c r="G83" s="6"/>
    </row>
    <row r="84" spans="2:14" x14ac:dyDescent="0.3">
      <c r="B84" s="15"/>
      <c r="C84" s="15"/>
      <c r="D84" s="28"/>
      <c r="E84" s="16"/>
      <c r="F84" s="4"/>
      <c r="G84" s="17"/>
    </row>
    <row r="87" spans="2:14" ht="15" thickBot="1" x14ac:dyDescent="0.35">
      <c r="B87" t="s">
        <v>294</v>
      </c>
      <c r="C87" s="146">
        <v>65.84</v>
      </c>
      <c r="D87" s="146">
        <v>65.84</v>
      </c>
      <c r="E87" s="146">
        <v>65.84</v>
      </c>
      <c r="F87" s="146">
        <v>65.84</v>
      </c>
      <c r="G87" s="146">
        <v>65.84</v>
      </c>
    </row>
    <row r="88" spans="2:14" x14ac:dyDescent="0.3">
      <c r="B88" t="s">
        <v>38</v>
      </c>
      <c r="C88" s="144">
        <v>1632.7</v>
      </c>
      <c r="D88" s="145">
        <v>1664</v>
      </c>
      <c r="E88" s="145">
        <v>1450.55</v>
      </c>
      <c r="F88" s="147">
        <v>476.1</v>
      </c>
      <c r="G88" s="147">
        <v>830.15</v>
      </c>
    </row>
    <row r="89" spans="2:14" s="72" customFormat="1" x14ac:dyDescent="0.3">
      <c r="B89" s="73" t="s">
        <v>84</v>
      </c>
      <c r="C89" s="74">
        <f>C54/C87</f>
        <v>1866.8411300121506</v>
      </c>
      <c r="D89" s="74">
        <f t="shared" ref="D89:G89" si="36">D54/D87</f>
        <v>1764.5004556500608</v>
      </c>
      <c r="E89" s="74">
        <f t="shared" si="36"/>
        <v>1557.7399756986633</v>
      </c>
      <c r="F89" s="74">
        <f t="shared" si="36"/>
        <v>1381.9524605103279</v>
      </c>
      <c r="G89" s="74">
        <f t="shared" si="36"/>
        <v>1344.5033414337788</v>
      </c>
      <c r="I89"/>
      <c r="J89"/>
      <c r="K89"/>
      <c r="L89"/>
      <c r="M89"/>
      <c r="N89"/>
    </row>
    <row r="90" spans="2:14" x14ac:dyDescent="0.3">
      <c r="B90" t="s">
        <v>85</v>
      </c>
    </row>
    <row r="92" spans="2:14" x14ac:dyDescent="0.3">
      <c r="C92" s="55"/>
      <c r="D92" s="55"/>
      <c r="E92" s="55"/>
      <c r="F92" s="55"/>
      <c r="G92" s="55"/>
    </row>
    <row r="93" spans="2:14" x14ac:dyDescent="0.3">
      <c r="G93" s="58"/>
    </row>
    <row r="94" spans="2:14" x14ac:dyDescent="0.3">
      <c r="C94" s="55"/>
      <c r="D94" s="55"/>
      <c r="E94" s="55"/>
      <c r="F94" s="55"/>
      <c r="G94" s="55"/>
    </row>
    <row r="96" spans="2:14" x14ac:dyDescent="0.3">
      <c r="C96" s="56"/>
      <c r="D96" s="56"/>
      <c r="E96" s="56"/>
    </row>
    <row r="100" spans="2:4" x14ac:dyDescent="0.3">
      <c r="C100" s="9"/>
    </row>
    <row r="101" spans="2:4" x14ac:dyDescent="0.3">
      <c r="C101" s="55"/>
    </row>
    <row r="103" spans="2:4" x14ac:dyDescent="0.3">
      <c r="C103" s="58"/>
      <c r="D103" s="58"/>
    </row>
    <row r="105" spans="2:4" x14ac:dyDescent="0.3">
      <c r="C105" s="55"/>
    </row>
    <row r="106" spans="2:4" x14ac:dyDescent="0.3">
      <c r="C106" s="55"/>
    </row>
    <row r="107" spans="2:4" x14ac:dyDescent="0.3">
      <c r="C107" s="56"/>
    </row>
    <row r="111" spans="2:4" x14ac:dyDescent="0.3">
      <c r="B111" s="31" t="s">
        <v>87</v>
      </c>
    </row>
    <row r="112" spans="2:4" x14ac:dyDescent="0.3">
      <c r="B112" s="31"/>
    </row>
    <row r="113" spans="2:3" x14ac:dyDescent="0.3">
      <c r="B113" s="31" t="s">
        <v>88</v>
      </c>
      <c r="C113" s="55"/>
    </row>
    <row r="114" spans="2:3" x14ac:dyDescent="0.3">
      <c r="B114" s="31"/>
    </row>
    <row r="115" spans="2:3" x14ac:dyDescent="0.3">
      <c r="B115" s="31" t="s">
        <v>89</v>
      </c>
      <c r="C115" s="9"/>
    </row>
    <row r="116" spans="2:3" x14ac:dyDescent="0.3">
      <c r="B116" s="31"/>
    </row>
    <row r="117" spans="2:3" x14ac:dyDescent="0.3">
      <c r="B117" s="31" t="s">
        <v>90</v>
      </c>
      <c r="C117" s="55"/>
    </row>
    <row r="120" spans="2:3" x14ac:dyDescent="0.3">
      <c r="B120" t="s">
        <v>91</v>
      </c>
    </row>
    <row r="121" spans="2:3" x14ac:dyDescent="0.3">
      <c r="B121" t="s">
        <v>92</v>
      </c>
      <c r="C121" s="9"/>
    </row>
    <row r="122" spans="2:3" x14ac:dyDescent="0.3">
      <c r="B122" t="s">
        <v>93</v>
      </c>
      <c r="C122" s="9"/>
    </row>
    <row r="123" spans="2:3" x14ac:dyDescent="0.3">
      <c r="B123" s="71" t="s">
        <v>94</v>
      </c>
      <c r="C123" s="75"/>
    </row>
    <row r="124" spans="2:3" x14ac:dyDescent="0.3">
      <c r="B124" t="s">
        <v>95</v>
      </c>
      <c r="C124" s="55"/>
    </row>
    <row r="127" spans="2:3" x14ac:dyDescent="0.3">
      <c r="B127" t="s">
        <v>96</v>
      </c>
      <c r="C127" s="55"/>
    </row>
    <row r="128" spans="2:3" x14ac:dyDescent="0.3">
      <c r="B128" t="s">
        <v>97</v>
      </c>
    </row>
  </sheetData>
  <mergeCells count="8">
    <mergeCell ref="I25:I26"/>
    <mergeCell ref="I40:I43"/>
    <mergeCell ref="I52:I53"/>
    <mergeCell ref="B2:G2"/>
    <mergeCell ref="B3:G3"/>
    <mergeCell ref="I2:N2"/>
    <mergeCell ref="I3:N3"/>
    <mergeCell ref="I11:I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782B-AEE6-43AA-998E-C1257D2F25D0}">
  <sheetPr>
    <tabColor rgb="FFCCECFF"/>
  </sheetPr>
  <dimension ref="B2:N84"/>
  <sheetViews>
    <sheetView zoomScale="80" zoomScaleNormal="8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32" sqref="I32"/>
    </sheetView>
  </sheetViews>
  <sheetFormatPr defaultRowHeight="14.4" x14ac:dyDescent="0.3"/>
  <cols>
    <col min="1" max="1" width="4.6640625" customWidth="1"/>
    <col min="2" max="2" width="70" bestFit="1" customWidth="1"/>
    <col min="3" max="3" width="13.109375" customWidth="1"/>
    <col min="4" max="7" width="9.88671875" bestFit="1" customWidth="1"/>
    <col min="9" max="9" width="66.88671875" bestFit="1" customWidth="1"/>
    <col min="10" max="10" width="17.5546875" customWidth="1"/>
    <col min="11" max="11" width="11" customWidth="1"/>
    <col min="12" max="12" width="11.88671875" customWidth="1"/>
    <col min="13" max="13" width="12" customWidth="1"/>
    <col min="14" max="14" width="13" bestFit="1" customWidth="1"/>
    <col min="17" max="17" width="57.109375" customWidth="1"/>
    <col min="18" max="18" width="24.21875" bestFit="1" customWidth="1"/>
    <col min="19" max="22" width="13.77734375" bestFit="1" customWidth="1"/>
  </cols>
  <sheetData>
    <row r="2" spans="2:14" ht="15.6" x14ac:dyDescent="0.3">
      <c r="B2" s="295" t="s">
        <v>156</v>
      </c>
      <c r="C2" s="296"/>
      <c r="D2" s="296"/>
      <c r="E2" s="296"/>
      <c r="F2" s="296"/>
      <c r="G2" s="297"/>
      <c r="I2" s="320" t="s">
        <v>379</v>
      </c>
      <c r="J2" s="321"/>
      <c r="K2" s="321"/>
      <c r="L2" s="321"/>
      <c r="M2" s="321"/>
      <c r="N2" s="322"/>
    </row>
    <row r="3" spans="2:14" ht="15.6" x14ac:dyDescent="0.3">
      <c r="B3" s="298" t="s">
        <v>157</v>
      </c>
      <c r="C3" s="299"/>
      <c r="D3" s="299"/>
      <c r="E3" s="299"/>
      <c r="F3" s="299"/>
      <c r="G3" s="300"/>
      <c r="I3" s="327" t="s">
        <v>377</v>
      </c>
      <c r="J3" s="328"/>
      <c r="K3" s="328"/>
      <c r="L3" s="328"/>
      <c r="M3" s="328"/>
      <c r="N3" s="329"/>
    </row>
    <row r="4" spans="2:14" ht="28.8" x14ac:dyDescent="0.3">
      <c r="B4" s="36" t="s">
        <v>0</v>
      </c>
      <c r="C4" s="1" t="s">
        <v>60</v>
      </c>
      <c r="D4" s="30" t="s">
        <v>61</v>
      </c>
      <c r="E4" s="1" t="s">
        <v>57</v>
      </c>
      <c r="F4" s="18" t="s">
        <v>62</v>
      </c>
      <c r="G4" s="1" t="s">
        <v>63</v>
      </c>
      <c r="I4" s="8"/>
      <c r="J4" s="1" t="s">
        <v>60</v>
      </c>
      <c r="K4" s="30" t="s">
        <v>61</v>
      </c>
      <c r="L4" s="1" t="s">
        <v>57</v>
      </c>
      <c r="M4" s="18" t="s">
        <v>62</v>
      </c>
      <c r="N4" s="1" t="s">
        <v>63</v>
      </c>
    </row>
    <row r="5" spans="2:14" x14ac:dyDescent="0.3">
      <c r="B5" s="40" t="s">
        <v>39</v>
      </c>
      <c r="C5" s="102">
        <v>117627.08</v>
      </c>
      <c r="D5" s="35">
        <v>95701.13</v>
      </c>
      <c r="E5" s="90">
        <v>76397.81</v>
      </c>
      <c r="F5" s="35">
        <v>77625.100000000006</v>
      </c>
      <c r="G5" s="90">
        <v>77200.25</v>
      </c>
      <c r="I5" s="40" t="s">
        <v>39</v>
      </c>
      <c r="J5" s="234">
        <f>(C5/$G$5)*100</f>
        <v>152.36619052399442</v>
      </c>
      <c r="K5" s="234">
        <f t="shared" ref="K5:N5" si="0">(D5/$G$5)*100</f>
        <v>123.96479286012676</v>
      </c>
      <c r="L5" s="234">
        <f t="shared" si="0"/>
        <v>98.96057331420559</v>
      </c>
      <c r="M5" s="234">
        <f t="shared" si="0"/>
        <v>100.55032205206591</v>
      </c>
      <c r="N5" s="234">
        <f t="shared" si="0"/>
        <v>100</v>
      </c>
    </row>
    <row r="6" spans="2:14" x14ac:dyDescent="0.3">
      <c r="B6" s="19" t="s">
        <v>40</v>
      </c>
      <c r="C6" s="86">
        <v>3612.05</v>
      </c>
      <c r="D6">
        <v>821.34</v>
      </c>
      <c r="E6" s="82">
        <v>1051.96</v>
      </c>
      <c r="F6">
        <v>966.61</v>
      </c>
      <c r="G6" s="83">
        <v>827.69</v>
      </c>
      <c r="I6" s="19" t="s">
        <v>40</v>
      </c>
      <c r="J6" s="234">
        <f>(C6/$G$6)*100</f>
        <v>436.40130966907907</v>
      </c>
      <c r="K6" s="234">
        <f t="shared" ref="K6:N6" si="1">(D6/$G$6)*100</f>
        <v>99.232804552429045</v>
      </c>
      <c r="L6" s="234">
        <f t="shared" si="1"/>
        <v>127.09589339003733</v>
      </c>
      <c r="M6" s="234">
        <f t="shared" si="1"/>
        <v>116.78406166559942</v>
      </c>
      <c r="N6" s="234">
        <f t="shared" si="1"/>
        <v>100</v>
      </c>
    </row>
    <row r="7" spans="2:14" x14ac:dyDescent="0.3">
      <c r="B7" s="44" t="s">
        <v>166</v>
      </c>
      <c r="C7" s="101">
        <v>121239.13</v>
      </c>
      <c r="D7" s="103">
        <v>96522.47</v>
      </c>
      <c r="E7" s="101">
        <v>77449.77</v>
      </c>
      <c r="F7" s="104">
        <v>78591.710000000006</v>
      </c>
      <c r="G7" s="101">
        <v>78027.94</v>
      </c>
      <c r="I7" s="44" t="s">
        <v>166</v>
      </c>
      <c r="J7" s="249">
        <f>(C7/$G$7)*100</f>
        <v>155.3791244520873</v>
      </c>
      <c r="K7" s="249">
        <f t="shared" ref="K7:N7" si="2">(D7/$G$7)*100</f>
        <v>123.70244555988535</v>
      </c>
      <c r="L7" s="249">
        <f t="shared" si="2"/>
        <v>99.25902183243592</v>
      </c>
      <c r="M7" s="249">
        <f t="shared" si="2"/>
        <v>100.72252323975232</v>
      </c>
      <c r="N7" s="249">
        <f t="shared" si="2"/>
        <v>100</v>
      </c>
    </row>
    <row r="8" spans="2:14" x14ac:dyDescent="0.3">
      <c r="B8" s="38" t="s">
        <v>41</v>
      </c>
      <c r="C8" s="38"/>
      <c r="D8" s="57"/>
      <c r="E8" s="20"/>
      <c r="F8" s="9"/>
      <c r="G8" s="20"/>
      <c r="I8" s="38" t="s">
        <v>41</v>
      </c>
      <c r="J8" s="38"/>
      <c r="K8" s="38"/>
      <c r="L8" s="206"/>
      <c r="M8" s="207"/>
      <c r="N8" s="206"/>
    </row>
    <row r="9" spans="2:14" x14ac:dyDescent="0.3">
      <c r="B9" s="109" t="s">
        <v>43</v>
      </c>
      <c r="C9" s="87">
        <v>21622.26</v>
      </c>
      <c r="D9" s="83">
        <v>16889.599999999999</v>
      </c>
      <c r="E9" s="83">
        <v>11006.75</v>
      </c>
      <c r="F9" s="83">
        <v>14618.05</v>
      </c>
      <c r="G9" s="82">
        <v>15261.12</v>
      </c>
      <c r="I9" s="19" t="s">
        <v>43</v>
      </c>
      <c r="J9" s="234">
        <f>(C9/$G$9)*100</f>
        <v>141.68199974838018</v>
      </c>
      <c r="K9" s="234">
        <f t="shared" ref="K9:N9" si="3">(D9/$G$9)*100</f>
        <v>110.67077645677379</v>
      </c>
      <c r="L9" s="234">
        <f t="shared" si="3"/>
        <v>72.122819295045176</v>
      </c>
      <c r="M9" s="234">
        <f t="shared" si="3"/>
        <v>95.786220146358843</v>
      </c>
      <c r="N9" s="234">
        <f t="shared" si="3"/>
        <v>100</v>
      </c>
    </row>
    <row r="10" spans="2:14" x14ac:dyDescent="0.3">
      <c r="B10" s="109" t="s">
        <v>44</v>
      </c>
      <c r="C10" s="87">
        <v>1824.35</v>
      </c>
      <c r="D10" s="83">
        <v>1404.56</v>
      </c>
      <c r="E10" s="19">
        <v>898.44</v>
      </c>
      <c r="F10" s="83">
        <v>1469.86</v>
      </c>
      <c r="G10" s="82">
        <v>1507.01</v>
      </c>
      <c r="I10" s="19" t="s">
        <v>44</v>
      </c>
      <c r="J10" s="234">
        <f>(C10/$G$10)*100</f>
        <v>121.05759085872023</v>
      </c>
      <c r="K10" s="234">
        <f t="shared" ref="K10:N10" si="4">(D10/$G$10)*100</f>
        <v>93.201770393029904</v>
      </c>
      <c r="L10" s="234">
        <f t="shared" si="4"/>
        <v>59.617388073071851</v>
      </c>
      <c r="M10" s="234">
        <f t="shared" si="4"/>
        <v>97.534853783319292</v>
      </c>
      <c r="N10" s="234">
        <f t="shared" si="4"/>
        <v>100</v>
      </c>
    </row>
    <row r="11" spans="2:14" ht="25.2" customHeight="1" x14ac:dyDescent="0.3">
      <c r="B11" s="112" t="s">
        <v>45</v>
      </c>
      <c r="C11" s="8">
        <v>834.66</v>
      </c>
      <c r="D11" s="19">
        <v>921.74</v>
      </c>
      <c r="E11" s="19">
        <v>724.03</v>
      </c>
      <c r="F11" s="19">
        <v>525.9</v>
      </c>
      <c r="G11" s="6">
        <v>79.89</v>
      </c>
      <c r="I11" s="39" t="s">
        <v>45</v>
      </c>
      <c r="J11" s="234">
        <f>(C11/$G$11)*100</f>
        <v>1044.7615471273</v>
      </c>
      <c r="K11" s="234">
        <f t="shared" ref="K11:N11" si="5">(D11/$G$11)*100</f>
        <v>1153.7614219551883</v>
      </c>
      <c r="L11" s="234">
        <f t="shared" si="5"/>
        <v>906.28364000500687</v>
      </c>
      <c r="M11" s="234">
        <f t="shared" si="5"/>
        <v>658.28013518588045</v>
      </c>
      <c r="N11" s="234">
        <f t="shared" si="5"/>
        <v>100</v>
      </c>
    </row>
    <row r="12" spans="2:14" ht="15" customHeight="1" x14ac:dyDescent="0.3">
      <c r="B12" s="19" t="s">
        <v>46</v>
      </c>
      <c r="C12" s="87">
        <v>7193.86</v>
      </c>
      <c r="D12" s="83">
        <v>6327.71</v>
      </c>
      <c r="E12" s="83">
        <v>5534.74</v>
      </c>
      <c r="F12" s="83">
        <v>5864.53</v>
      </c>
      <c r="G12" s="82">
        <v>5428.21</v>
      </c>
      <c r="I12" s="19" t="s">
        <v>46</v>
      </c>
      <c r="J12" s="234">
        <f>(C12/$G$12)*100</f>
        <v>132.52729721215647</v>
      </c>
      <c r="K12" s="234">
        <f t="shared" ref="K12:N12" si="6">(D12/$G$12)*100</f>
        <v>116.57084011119687</v>
      </c>
      <c r="L12" s="234">
        <f t="shared" si="6"/>
        <v>101.96252539971739</v>
      </c>
      <c r="M12" s="234">
        <f t="shared" si="6"/>
        <v>108.03800884637845</v>
      </c>
      <c r="N12" s="234">
        <f t="shared" si="6"/>
        <v>100</v>
      </c>
    </row>
    <row r="13" spans="2:14" ht="15" customHeight="1" x14ac:dyDescent="0.3">
      <c r="B13" s="19"/>
      <c r="C13" s="87"/>
      <c r="D13" s="83"/>
      <c r="E13" s="83"/>
      <c r="F13" s="83"/>
      <c r="G13" s="82"/>
      <c r="I13" s="19" t="s">
        <v>164</v>
      </c>
      <c r="J13" s="234">
        <f>(C18/$G$18)*100</f>
        <v>116.62345871047708</v>
      </c>
      <c r="K13" s="234">
        <f t="shared" ref="K13:N13" si="7">(D18/$G$18)*100</f>
        <v>85.929514243811383</v>
      </c>
      <c r="L13" s="234">
        <f t="shared" si="7"/>
        <v>96.652494457036482</v>
      </c>
      <c r="M13" s="234">
        <f t="shared" si="7"/>
        <v>113.27447175187275</v>
      </c>
      <c r="N13" s="234">
        <f t="shared" si="7"/>
        <v>100</v>
      </c>
    </row>
    <row r="14" spans="2:14" ht="15" customHeight="1" x14ac:dyDescent="0.3">
      <c r="B14" s="19" t="s">
        <v>160</v>
      </c>
      <c r="C14" s="87">
        <v>23168.73</v>
      </c>
      <c r="D14" s="83">
        <v>15520.7</v>
      </c>
      <c r="E14" s="83">
        <v>10363.780000000001</v>
      </c>
      <c r="F14" s="83">
        <v>11436.68</v>
      </c>
      <c r="G14" s="82">
        <v>12423.45</v>
      </c>
      <c r="I14" s="19" t="s">
        <v>165</v>
      </c>
      <c r="J14" s="234">
        <f>(C19/$G$19)*100</f>
        <v>65.689976863945077</v>
      </c>
      <c r="K14" s="234">
        <f t="shared" ref="K14:N14" si="8">(D19/$G$19)*100</f>
        <v>64.467497574445858</v>
      </c>
      <c r="L14" s="234">
        <f t="shared" si="8"/>
        <v>90.000746324352576</v>
      </c>
      <c r="M14" s="234">
        <f t="shared" si="8"/>
        <v>116.35196656466901</v>
      </c>
      <c r="N14" s="234">
        <f t="shared" si="8"/>
        <v>100</v>
      </c>
    </row>
    <row r="15" spans="2:14" ht="15" customHeight="1" x14ac:dyDescent="0.3">
      <c r="B15" s="8" t="s">
        <v>161</v>
      </c>
      <c r="C15" s="35">
        <v>15024.93</v>
      </c>
      <c r="D15" s="83">
        <v>12584.1</v>
      </c>
      <c r="E15" s="83">
        <v>10381.83</v>
      </c>
      <c r="F15" s="83">
        <v>10058.06</v>
      </c>
      <c r="G15" s="82">
        <v>10619.15</v>
      </c>
      <c r="I15" s="19" t="s">
        <v>47</v>
      </c>
      <c r="J15" s="234">
        <f>(C20/$G$20)*100</f>
        <v>127.44625326904446</v>
      </c>
      <c r="K15" s="234">
        <f t="shared" ref="K15:N15" si="9">(D20/$G$20)*100</f>
        <v>116.51154455700596</v>
      </c>
      <c r="L15" s="234">
        <f t="shared" si="9"/>
        <v>112.93673593960878</v>
      </c>
      <c r="M15" s="234">
        <f t="shared" si="9"/>
        <v>113.1444987651832</v>
      </c>
      <c r="N15" s="234">
        <f t="shared" si="9"/>
        <v>100</v>
      </c>
    </row>
    <row r="16" spans="2:14" ht="18" customHeight="1" x14ac:dyDescent="0.3">
      <c r="B16" s="8" t="s">
        <v>162</v>
      </c>
      <c r="C16" s="35">
        <v>7451.57</v>
      </c>
      <c r="D16" s="83">
        <v>4240.83</v>
      </c>
      <c r="E16" s="83">
        <v>4374.84</v>
      </c>
      <c r="F16" s="83">
        <v>1032.26</v>
      </c>
      <c r="G16" s="82">
        <v>1408.88</v>
      </c>
      <c r="I16" s="19" t="s">
        <v>48</v>
      </c>
      <c r="J16" s="234">
        <f>(C21/$G$21)*100</f>
        <v>159.43536795884</v>
      </c>
      <c r="K16" s="234">
        <f t="shared" ref="K16:N16" si="10">(D21/$G$21)*100</f>
        <v>132.04116001387749</v>
      </c>
      <c r="L16" s="234">
        <f t="shared" si="10"/>
        <v>106.1898198774859</v>
      </c>
      <c r="M16" s="234">
        <f t="shared" si="10"/>
        <v>116.50091374134108</v>
      </c>
      <c r="N16" s="234">
        <f t="shared" si="10"/>
        <v>100</v>
      </c>
    </row>
    <row r="17" spans="2:14" ht="15" customHeight="1" x14ac:dyDescent="0.3">
      <c r="B17" s="8" t="s">
        <v>163</v>
      </c>
      <c r="C17" s="35">
        <v>5467.75</v>
      </c>
      <c r="D17" s="83">
        <v>6702.55</v>
      </c>
      <c r="E17" s="83">
        <v>4445.05</v>
      </c>
      <c r="F17" s="83">
        <v>5177.01</v>
      </c>
      <c r="G17" s="82">
        <v>4553.57</v>
      </c>
      <c r="I17" s="44" t="s">
        <v>167</v>
      </c>
      <c r="J17" s="238">
        <f>(C22/$G$22)*100</f>
        <v>151.88823781278694</v>
      </c>
      <c r="K17" s="238">
        <f t="shared" ref="K17:N17" si="11">(D22/$G$22)*100</f>
        <v>119.94396706565931</v>
      </c>
      <c r="L17" s="238">
        <f t="shared" si="11"/>
        <v>96.183598522843212</v>
      </c>
      <c r="M17" s="238">
        <f t="shared" si="11"/>
        <v>101.31024594495503</v>
      </c>
      <c r="N17" s="238">
        <f t="shared" si="11"/>
        <v>100</v>
      </c>
    </row>
    <row r="18" spans="2:14" x14ac:dyDescent="0.3">
      <c r="B18" s="19" t="s">
        <v>164</v>
      </c>
      <c r="C18" s="35">
        <v>4723.46</v>
      </c>
      <c r="D18" s="83">
        <v>3480.3</v>
      </c>
      <c r="E18" s="83">
        <v>3914.6</v>
      </c>
      <c r="F18" s="83">
        <v>4587.82</v>
      </c>
      <c r="G18" s="82">
        <v>4050.18</v>
      </c>
      <c r="I18" s="19" t="s">
        <v>383</v>
      </c>
      <c r="J18" s="247"/>
      <c r="K18" s="247"/>
      <c r="L18" s="247"/>
      <c r="M18" s="247"/>
      <c r="N18" s="247"/>
    </row>
    <row r="19" spans="2:14" x14ac:dyDescent="0.3">
      <c r="B19" s="19" t="s">
        <v>165</v>
      </c>
      <c r="C19" s="35">
        <v>1320.27</v>
      </c>
      <c r="D19" s="83">
        <v>1295.7</v>
      </c>
      <c r="E19" s="83">
        <v>1808.88</v>
      </c>
      <c r="F19" s="83">
        <v>2338.5</v>
      </c>
      <c r="G19" s="82">
        <v>2009.85</v>
      </c>
      <c r="I19" s="19" t="s">
        <v>380</v>
      </c>
      <c r="J19" s="234"/>
      <c r="K19" s="234"/>
      <c r="L19" s="234"/>
      <c r="M19" s="234"/>
      <c r="N19" s="234"/>
    </row>
    <row r="20" spans="2:14" x14ac:dyDescent="0.3">
      <c r="B20" s="19" t="s">
        <v>47</v>
      </c>
      <c r="C20" s="35">
        <v>4551.59</v>
      </c>
      <c r="D20" s="83">
        <v>4161.07</v>
      </c>
      <c r="E20" s="83">
        <v>4033.4</v>
      </c>
      <c r="F20" s="83">
        <v>4040.82</v>
      </c>
      <c r="G20" s="82">
        <v>3571.38</v>
      </c>
      <c r="I20" s="45" t="s">
        <v>381</v>
      </c>
      <c r="J20" s="248">
        <f>(C28/$G$28)*100</f>
        <v>50676.909841706809</v>
      </c>
      <c r="K20" s="248">
        <f t="shared" ref="K20:N20" si="12">(D28/$G$28)*100</f>
        <v>43450.997935306266</v>
      </c>
      <c r="L20" s="248">
        <f t="shared" si="12"/>
        <v>33625.017205781143</v>
      </c>
      <c r="M20" s="248">
        <f t="shared" si="12"/>
        <v>1934.6868547832073</v>
      </c>
      <c r="N20" s="248">
        <f t="shared" si="12"/>
        <v>100</v>
      </c>
    </row>
    <row r="21" spans="2:14" x14ac:dyDescent="0.3">
      <c r="B21" s="19" t="s">
        <v>48</v>
      </c>
      <c r="C21" s="35">
        <v>15119.24</v>
      </c>
      <c r="D21" s="86">
        <v>12521.45</v>
      </c>
      <c r="E21" s="86">
        <v>10069.969999999999</v>
      </c>
      <c r="F21" s="86">
        <v>11047.77</v>
      </c>
      <c r="G21" s="89">
        <v>9482.99</v>
      </c>
      <c r="I21" s="19" t="s">
        <v>49</v>
      </c>
      <c r="J21" s="40"/>
      <c r="K21" s="40"/>
      <c r="L21" s="208"/>
      <c r="M21" s="209"/>
      <c r="N21" s="208"/>
    </row>
    <row r="22" spans="2:14" x14ac:dyDescent="0.3">
      <c r="B22" s="44" t="s">
        <v>167</v>
      </c>
      <c r="C22" s="101">
        <v>106633.35</v>
      </c>
      <c r="D22" s="101">
        <v>84206.83</v>
      </c>
      <c r="E22" s="105">
        <v>67525.83</v>
      </c>
      <c r="F22" s="101">
        <v>71125</v>
      </c>
      <c r="G22" s="103">
        <v>70205.14</v>
      </c>
      <c r="I22" s="19" t="s">
        <v>51</v>
      </c>
      <c r="J22" s="234">
        <f>(C31/$G$31)*100</f>
        <v>146.73292297170215</v>
      </c>
      <c r="K22" s="234">
        <f t="shared" ref="K22:N22" si="13">(D31/$G$31)*100</f>
        <v>83.542788749251955</v>
      </c>
      <c r="L22" s="234">
        <f t="shared" si="13"/>
        <v>83.756518765495429</v>
      </c>
      <c r="M22" s="234">
        <f t="shared" si="13"/>
        <v>68.709070701889374</v>
      </c>
      <c r="N22" s="234">
        <f t="shared" si="13"/>
        <v>100</v>
      </c>
    </row>
    <row r="23" spans="2:14" ht="28.2" customHeight="1" x14ac:dyDescent="0.3">
      <c r="B23" s="40" t="s">
        <v>168</v>
      </c>
      <c r="C23" s="90">
        <v>14605.78</v>
      </c>
      <c r="D23" s="35">
        <v>12315.64</v>
      </c>
      <c r="E23" s="35">
        <v>9923.94</v>
      </c>
      <c r="F23" s="90">
        <v>7466.71</v>
      </c>
      <c r="G23" s="102">
        <v>7822.8</v>
      </c>
      <c r="I23" s="19" t="s">
        <v>50</v>
      </c>
      <c r="J23" s="234">
        <f>(C32/$G$32)*100</f>
        <v>227.6072972687968</v>
      </c>
      <c r="K23" s="234">
        <f t="shared" ref="K23:N23" si="14">(D32/$G$32)*100</f>
        <v>19.076241695665928</v>
      </c>
      <c r="L23" s="234">
        <f t="shared" si="14"/>
        <v>1120.7318359169039</v>
      </c>
      <c r="M23" s="234">
        <f t="shared" si="14"/>
        <v>1722.6510597912054</v>
      </c>
      <c r="N23" s="234">
        <f t="shared" si="14"/>
        <v>100</v>
      </c>
    </row>
    <row r="24" spans="2:14" ht="16.2" customHeight="1" x14ac:dyDescent="0.3">
      <c r="B24" s="12" t="s">
        <v>169</v>
      </c>
      <c r="C24" s="52"/>
      <c r="D24" s="53"/>
      <c r="E24" s="47"/>
      <c r="F24" s="52"/>
      <c r="G24" s="108"/>
      <c r="I24" s="37" t="s">
        <v>159</v>
      </c>
      <c r="J24" s="249">
        <f>(C33/$G$33)*100</f>
        <v>150.84466163921414</v>
      </c>
      <c r="K24" s="249">
        <f t="shared" ref="K24:N24" si="15">(D33/$G$33)*100</f>
        <v>80.055153138850315</v>
      </c>
      <c r="L24" s="249">
        <f t="shared" si="15"/>
        <v>124.9499735397235</v>
      </c>
      <c r="M24" s="249">
        <f t="shared" si="15"/>
        <v>1.2671991797314284</v>
      </c>
      <c r="N24" s="249">
        <f t="shared" si="15"/>
        <v>100</v>
      </c>
    </row>
    <row r="25" spans="2:14" x14ac:dyDescent="0.3">
      <c r="B25" s="8" t="s">
        <v>170</v>
      </c>
      <c r="C25" s="6">
        <v>208.96</v>
      </c>
      <c r="D25" s="19">
        <v>380.33</v>
      </c>
      <c r="E25">
        <v>189.22</v>
      </c>
      <c r="F25" s="19"/>
      <c r="G25" s="19"/>
      <c r="I25" s="45" t="s">
        <v>382</v>
      </c>
      <c r="J25" s="250">
        <f>(C34/$G$34)*100</f>
        <v>403.61564301172433</v>
      </c>
      <c r="K25" s="250">
        <f t="shared" ref="K25:N25" si="16">(D34/$G$34)*100</f>
        <v>389.4922652054475</v>
      </c>
      <c r="L25" s="250">
        <f t="shared" si="16"/>
        <v>245.89724345475346</v>
      </c>
      <c r="M25" s="250">
        <f t="shared" si="16"/>
        <v>243.28278816937123</v>
      </c>
      <c r="N25" s="250">
        <f t="shared" si="16"/>
        <v>100</v>
      </c>
    </row>
    <row r="26" spans="2:14" ht="16.8" customHeight="1" x14ac:dyDescent="0.3">
      <c r="B26" s="12" t="s">
        <v>171</v>
      </c>
      <c r="C26" s="83">
        <v>14814.74</v>
      </c>
      <c r="D26" s="83">
        <v>12695.97</v>
      </c>
      <c r="E26" s="35">
        <v>10113.16</v>
      </c>
      <c r="F26" s="52"/>
      <c r="G26" s="108"/>
      <c r="I26" s="40" t="s">
        <v>42</v>
      </c>
      <c r="J26" s="40"/>
      <c r="K26" s="40"/>
      <c r="L26" s="208"/>
      <c r="M26" s="209"/>
      <c r="N26" s="208"/>
    </row>
    <row r="27" spans="2:14" x14ac:dyDescent="0.3">
      <c r="B27" s="40" t="s">
        <v>158</v>
      </c>
      <c r="C27" s="19">
        <v>88.03</v>
      </c>
      <c r="D27" s="4">
        <v>69.11</v>
      </c>
      <c r="E27">
        <v>341.73</v>
      </c>
      <c r="F27" s="21"/>
      <c r="G27" s="29"/>
      <c r="I27" s="40" t="s">
        <v>366</v>
      </c>
      <c r="J27" s="227">
        <f>(C43/$G$43)*100</f>
        <v>128.06633326516575</v>
      </c>
      <c r="K27" s="227">
        <f t="shared" ref="K27:N27" si="17">(D43/$G$43)*100</f>
        <v>127.98750673929615</v>
      </c>
      <c r="L27" s="227">
        <f t="shared" si="17"/>
        <v>259.78173976091767</v>
      </c>
      <c r="M27" s="227">
        <f t="shared" si="17"/>
        <v>204.95603190243358</v>
      </c>
      <c r="N27" s="227">
        <f t="shared" si="17"/>
        <v>100</v>
      </c>
    </row>
    <row r="28" spans="2:14" ht="38.4" customHeight="1" x14ac:dyDescent="0.3">
      <c r="B28" s="12" t="s">
        <v>295</v>
      </c>
      <c r="C28" s="91">
        <v>14726.71</v>
      </c>
      <c r="D28" s="91">
        <v>12626.86</v>
      </c>
      <c r="E28" s="121">
        <v>9771.43</v>
      </c>
      <c r="F28" s="64">
        <v>562.22</v>
      </c>
      <c r="G28" s="120">
        <v>29.06</v>
      </c>
      <c r="I28" s="39"/>
      <c r="J28" s="234"/>
      <c r="K28" s="234"/>
      <c r="L28" s="234"/>
      <c r="M28" s="234"/>
      <c r="N28" s="234"/>
    </row>
    <row r="29" spans="2:14" x14ac:dyDescent="0.3">
      <c r="B29" s="40" t="s">
        <v>49</v>
      </c>
      <c r="C29" s="40"/>
      <c r="D29" s="59"/>
      <c r="E29" s="20"/>
      <c r="F29" s="9"/>
      <c r="G29" s="20"/>
      <c r="I29" s="19"/>
      <c r="J29" s="234"/>
      <c r="K29" s="234"/>
      <c r="L29" s="234"/>
      <c r="M29" s="234"/>
      <c r="N29" s="234"/>
    </row>
    <row r="30" spans="2:14" ht="25.2" customHeight="1" x14ac:dyDescent="0.3">
      <c r="B30" s="8" t="s">
        <v>172</v>
      </c>
      <c r="C30" s="40"/>
      <c r="D30" s="59"/>
      <c r="E30" s="20"/>
      <c r="F30" s="9"/>
      <c r="G30" s="20"/>
      <c r="I30" s="41"/>
      <c r="J30" s="247"/>
      <c r="K30" s="247"/>
      <c r="L30" s="247"/>
      <c r="M30" s="247"/>
      <c r="N30" s="247"/>
    </row>
    <row r="31" spans="2:14" ht="22.2" customHeight="1" x14ac:dyDescent="0.3">
      <c r="B31" s="19" t="s">
        <v>51</v>
      </c>
      <c r="C31" s="83">
        <v>3432.67</v>
      </c>
      <c r="D31" s="51">
        <v>1954.4</v>
      </c>
      <c r="E31" s="83">
        <v>1959.4</v>
      </c>
      <c r="F31" s="35">
        <v>1607.38</v>
      </c>
      <c r="G31" s="83">
        <v>2339.4</v>
      </c>
      <c r="I31" s="217"/>
      <c r="J31" s="236"/>
      <c r="K31" s="236"/>
      <c r="L31" s="236"/>
      <c r="M31" s="236"/>
      <c r="N31" s="236"/>
    </row>
    <row r="32" spans="2:14" ht="18.600000000000001" customHeight="1" x14ac:dyDescent="0.3">
      <c r="B32" s="19" t="s">
        <v>50</v>
      </c>
      <c r="C32" s="19">
        <v>215.84</v>
      </c>
      <c r="D32" s="124">
        <v>18.09</v>
      </c>
      <c r="E32" s="86">
        <v>1062.79</v>
      </c>
      <c r="F32" s="86">
        <v>1633.59</v>
      </c>
      <c r="G32" s="4">
        <v>94.83</v>
      </c>
      <c r="I32" s="41" t="s">
        <v>367</v>
      </c>
      <c r="J32" s="228">
        <f>(C66/$G$66)*100</f>
        <v>403.64906832298135</v>
      </c>
      <c r="K32" s="228">
        <f t="shared" ref="K32:N32" si="18">(D66/$G$66)*100</f>
        <v>419.87577639751549</v>
      </c>
      <c r="L32" s="228">
        <f t="shared" si="18"/>
        <v>244.09937888198758</v>
      </c>
      <c r="M32" s="228">
        <f t="shared" si="18"/>
        <v>261.72360248447205</v>
      </c>
      <c r="N32" s="228">
        <f t="shared" si="18"/>
        <v>100</v>
      </c>
    </row>
    <row r="33" spans="2:14" ht="16.8" customHeight="1" x14ac:dyDescent="0.3">
      <c r="B33" s="37" t="s">
        <v>159</v>
      </c>
      <c r="C33" s="101">
        <v>3648.51</v>
      </c>
      <c r="D33" s="103">
        <v>1936.31</v>
      </c>
      <c r="E33" s="48">
        <v>3022.19</v>
      </c>
      <c r="F33" s="104">
        <v>30.65</v>
      </c>
      <c r="G33" s="101">
        <v>2418.7199999999998</v>
      </c>
      <c r="I33" s="218" t="s">
        <v>368</v>
      </c>
      <c r="J33" s="248"/>
      <c r="K33" s="248"/>
      <c r="L33" s="248"/>
      <c r="M33" s="248"/>
      <c r="N33" s="248"/>
    </row>
    <row r="34" spans="2:14" ht="18.600000000000001" customHeight="1" x14ac:dyDescent="0.3">
      <c r="B34" s="45" t="s">
        <v>296</v>
      </c>
      <c r="C34" s="98">
        <v>11078.2</v>
      </c>
      <c r="D34" s="89">
        <v>10690.55</v>
      </c>
      <c r="E34" s="121">
        <v>6749.24</v>
      </c>
      <c r="F34" s="92">
        <v>6677.48</v>
      </c>
      <c r="G34" s="121">
        <v>2744.74</v>
      </c>
      <c r="I34" s="39" t="s">
        <v>369</v>
      </c>
      <c r="J34" s="39"/>
      <c r="K34" s="39"/>
      <c r="L34" s="19"/>
      <c r="M34" s="8"/>
      <c r="N34" s="19"/>
    </row>
    <row r="35" spans="2:14" ht="19.2" customHeight="1" x14ac:dyDescent="0.3">
      <c r="B35" s="113" t="s">
        <v>173</v>
      </c>
      <c r="C35" s="106"/>
      <c r="D35" s="107"/>
      <c r="E35" s="106"/>
      <c r="F35" s="126"/>
      <c r="G35" s="128"/>
      <c r="I35" s="42" t="s">
        <v>370</v>
      </c>
      <c r="J35" s="42"/>
      <c r="K35" s="42"/>
      <c r="L35" s="4"/>
      <c r="M35" s="155"/>
      <c r="N35" s="4"/>
    </row>
    <row r="36" spans="2:14" x14ac:dyDescent="0.3">
      <c r="B36" s="109" t="s">
        <v>174</v>
      </c>
      <c r="C36" s="106"/>
      <c r="D36" s="19">
        <v>352.52</v>
      </c>
      <c r="E36" s="19">
        <v>162.79</v>
      </c>
      <c r="F36" s="125">
        <v>90.03</v>
      </c>
      <c r="G36" s="19">
        <v>54.94</v>
      </c>
    </row>
    <row r="37" spans="2:14" x14ac:dyDescent="0.3">
      <c r="B37" s="109" t="s">
        <v>175</v>
      </c>
      <c r="C37" s="106"/>
      <c r="D37" s="19">
        <v>670.71</v>
      </c>
      <c r="E37" s="19">
        <v>166.5</v>
      </c>
      <c r="F37" s="6">
        <v>36.630000000000003</v>
      </c>
      <c r="G37" s="122">
        <v>15.31</v>
      </c>
    </row>
    <row r="38" spans="2:14" x14ac:dyDescent="0.3">
      <c r="B38" s="109" t="s">
        <v>176</v>
      </c>
      <c r="C38" s="106"/>
      <c r="D38" s="19">
        <v>440.07</v>
      </c>
      <c r="E38" s="122">
        <v>66.099999999999994</v>
      </c>
      <c r="F38" s="126"/>
      <c r="G38" s="106"/>
    </row>
    <row r="39" spans="2:14" x14ac:dyDescent="0.3">
      <c r="B39" s="109" t="s">
        <v>177</v>
      </c>
      <c r="C39" s="106"/>
      <c r="D39" s="19">
        <v>67.42</v>
      </c>
      <c r="E39" s="19">
        <v>25.73</v>
      </c>
      <c r="F39" s="6">
        <v>53.4</v>
      </c>
      <c r="G39" s="19">
        <v>39.630000000000003</v>
      </c>
    </row>
    <row r="40" spans="2:14" x14ac:dyDescent="0.3">
      <c r="B40" s="40" t="s">
        <v>178</v>
      </c>
      <c r="C40" s="106"/>
      <c r="D40" s="19">
        <v>515.74</v>
      </c>
      <c r="E40" s="19">
        <v>237.46</v>
      </c>
      <c r="F40" s="126"/>
      <c r="G40" s="106"/>
    </row>
    <row r="41" spans="2:14" x14ac:dyDescent="0.3">
      <c r="B41" s="40" t="s">
        <v>179</v>
      </c>
      <c r="C41" s="43">
        <v>11078.2</v>
      </c>
      <c r="D41" s="123">
        <v>11206.29</v>
      </c>
      <c r="E41" s="43">
        <v>6986.7</v>
      </c>
      <c r="F41" s="127">
        <v>6677.48</v>
      </c>
      <c r="G41" s="123">
        <v>2744.74</v>
      </c>
    </row>
    <row r="42" spans="2:14" x14ac:dyDescent="0.3">
      <c r="B42" s="40" t="s">
        <v>42</v>
      </c>
      <c r="C42" s="40"/>
      <c r="D42" s="51"/>
      <c r="E42" s="20"/>
      <c r="F42" s="29"/>
      <c r="G42" s="20"/>
    </row>
    <row r="43" spans="2:14" x14ac:dyDescent="0.3">
      <c r="B43" s="19" t="s">
        <v>180</v>
      </c>
      <c r="C43" s="82">
        <v>3444.28</v>
      </c>
      <c r="D43" s="83">
        <v>3442.16</v>
      </c>
      <c r="E43" s="83">
        <v>6986.7</v>
      </c>
      <c r="F43" s="82">
        <v>5512.19</v>
      </c>
      <c r="G43" s="20">
        <v>2689.45</v>
      </c>
    </row>
    <row r="44" spans="2:14" x14ac:dyDescent="0.3">
      <c r="B44" s="39" t="s">
        <v>181</v>
      </c>
      <c r="C44" s="6">
        <v>387.85</v>
      </c>
      <c r="D44" s="19">
        <v>221.77</v>
      </c>
      <c r="E44" s="19">
        <v>387.07</v>
      </c>
      <c r="F44" s="6">
        <v>373.62</v>
      </c>
      <c r="G44" s="83">
        <v>31.06</v>
      </c>
    </row>
    <row r="45" spans="2:14" x14ac:dyDescent="0.3">
      <c r="B45" s="19" t="s">
        <v>182</v>
      </c>
      <c r="C45" s="6">
        <v>182.04</v>
      </c>
      <c r="D45" s="19">
        <v>63.88</v>
      </c>
      <c r="E45" s="19">
        <v>163.53</v>
      </c>
      <c r="F45" s="6">
        <v>145.53</v>
      </c>
      <c r="G45" s="19">
        <v>77.38</v>
      </c>
    </row>
    <row r="46" spans="2:14" x14ac:dyDescent="0.3">
      <c r="B46" s="8" t="s">
        <v>183</v>
      </c>
      <c r="C46" s="6">
        <v>57.69</v>
      </c>
      <c r="D46" s="19">
        <v>3.47</v>
      </c>
      <c r="E46" s="19">
        <v>18.75</v>
      </c>
      <c r="F46" s="6">
        <v>8.9600000000000009</v>
      </c>
      <c r="G46" s="83">
        <v>16.63</v>
      </c>
    </row>
    <row r="47" spans="2:14" x14ac:dyDescent="0.3">
      <c r="B47" s="12" t="s">
        <v>184</v>
      </c>
      <c r="C47" s="82">
        <v>3180.78</v>
      </c>
      <c r="D47" s="86">
        <v>3280.8</v>
      </c>
      <c r="E47" s="83">
        <v>4840.92</v>
      </c>
      <c r="F47" s="82">
        <v>5002</v>
      </c>
      <c r="G47" s="83">
        <v>2781.26</v>
      </c>
    </row>
    <row r="48" spans="2:14" x14ac:dyDescent="0.3">
      <c r="B48" s="111" t="s">
        <v>185</v>
      </c>
      <c r="C48" s="92">
        <v>7897.42</v>
      </c>
      <c r="D48" s="91">
        <v>14487.09</v>
      </c>
      <c r="E48" s="92">
        <v>11827.62</v>
      </c>
      <c r="F48" s="91">
        <v>1675.48</v>
      </c>
      <c r="G48" s="92">
        <v>36.520000000000003</v>
      </c>
    </row>
    <row r="49" spans="2:7" x14ac:dyDescent="0.3">
      <c r="B49" s="113" t="s">
        <v>186</v>
      </c>
      <c r="C49" s="41"/>
      <c r="D49" s="60"/>
      <c r="E49" s="43"/>
      <c r="F49" s="99"/>
      <c r="G49" s="43"/>
    </row>
    <row r="50" spans="2:7" x14ac:dyDescent="0.3">
      <c r="B50" s="112" t="s">
        <v>187</v>
      </c>
      <c r="C50" s="83">
        <v>6827.26</v>
      </c>
      <c r="D50" s="35">
        <v>7102.37</v>
      </c>
      <c r="E50" s="35">
        <v>4128.41</v>
      </c>
      <c r="F50" s="82">
        <v>4425.1899999999996</v>
      </c>
      <c r="G50" s="83">
        <v>1692.99</v>
      </c>
    </row>
    <row r="51" spans="2:7" x14ac:dyDescent="0.3">
      <c r="B51" s="112" t="s">
        <v>188</v>
      </c>
      <c r="C51" s="83">
        <v>4250.9399999999996</v>
      </c>
      <c r="D51" s="35">
        <v>3588.18</v>
      </c>
      <c r="E51" s="83">
        <v>2620.83</v>
      </c>
      <c r="F51" s="89">
        <v>2252.29</v>
      </c>
      <c r="G51" s="82">
        <v>1051.75</v>
      </c>
    </row>
    <row r="52" spans="2:7" x14ac:dyDescent="0.3">
      <c r="B52" s="112"/>
      <c r="C52" s="115">
        <v>11078.2</v>
      </c>
      <c r="D52" s="116">
        <v>10690.55</v>
      </c>
      <c r="E52" s="94">
        <v>6749.24</v>
      </c>
      <c r="F52" s="116">
        <v>6677.48</v>
      </c>
      <c r="G52" s="94">
        <v>2744.74</v>
      </c>
    </row>
    <row r="53" spans="2:7" x14ac:dyDescent="0.3">
      <c r="B53" s="40" t="s">
        <v>189</v>
      </c>
      <c r="C53" s="39"/>
      <c r="D53" s="59"/>
      <c r="E53" s="19"/>
      <c r="G53" s="19"/>
    </row>
    <row r="54" spans="2:7" x14ac:dyDescent="0.3">
      <c r="B54" s="19" t="s">
        <v>187</v>
      </c>
      <c r="C54" s="83">
        <v>6827.26</v>
      </c>
      <c r="D54" s="83">
        <v>7549.78</v>
      </c>
      <c r="E54" s="83">
        <v>4304.82</v>
      </c>
      <c r="F54" s="83">
        <v>4425.1899999999996</v>
      </c>
      <c r="G54" s="83">
        <v>1692.99</v>
      </c>
    </row>
    <row r="55" spans="2:7" x14ac:dyDescent="0.3">
      <c r="B55" s="112" t="s">
        <v>188</v>
      </c>
      <c r="C55" s="83">
        <v>4250.9399999999996</v>
      </c>
      <c r="D55" s="124">
        <v>3656.51</v>
      </c>
      <c r="E55" s="82">
        <v>2681.88</v>
      </c>
      <c r="F55" s="83">
        <v>2252.29</v>
      </c>
      <c r="G55" s="83">
        <v>1051.75</v>
      </c>
    </row>
    <row r="56" spans="2:7" x14ac:dyDescent="0.3">
      <c r="B56" s="112"/>
      <c r="C56" s="115">
        <v>11078.2</v>
      </c>
      <c r="D56" s="116">
        <v>11206.29</v>
      </c>
      <c r="E56" s="94">
        <v>6986.7</v>
      </c>
      <c r="F56" s="94">
        <v>6677.48</v>
      </c>
      <c r="G56" s="94">
        <v>2744.74</v>
      </c>
    </row>
    <row r="57" spans="2:7" x14ac:dyDescent="0.3">
      <c r="B57" s="40" t="s">
        <v>190</v>
      </c>
      <c r="C57" s="39"/>
      <c r="D57" s="59"/>
      <c r="E57" s="19"/>
      <c r="G57" s="19"/>
    </row>
    <row r="58" spans="2:7" x14ac:dyDescent="0.3">
      <c r="B58" s="19" t="s">
        <v>187</v>
      </c>
      <c r="C58" s="83">
        <v>3104.23</v>
      </c>
      <c r="D58" s="83">
        <v>3281.85</v>
      </c>
      <c r="E58" s="83">
        <v>4780.54</v>
      </c>
      <c r="F58" s="35">
        <v>5067.74</v>
      </c>
      <c r="G58" s="83">
        <v>2822.5</v>
      </c>
    </row>
    <row r="59" spans="2:7" x14ac:dyDescent="0.3">
      <c r="B59" s="112" t="s">
        <v>188</v>
      </c>
      <c r="C59" s="19">
        <v>76.55</v>
      </c>
      <c r="D59">
        <v>1.05</v>
      </c>
      <c r="E59" s="19">
        <v>60.38</v>
      </c>
      <c r="F59" s="35">
        <v>65.739999999999995</v>
      </c>
      <c r="G59" s="19">
        <v>41.24</v>
      </c>
    </row>
    <row r="60" spans="2:7" x14ac:dyDescent="0.3">
      <c r="B60" s="112"/>
      <c r="C60" s="94">
        <v>3180.78</v>
      </c>
      <c r="D60" s="116">
        <v>3280.8</v>
      </c>
      <c r="E60" s="94">
        <v>4840.92</v>
      </c>
      <c r="F60" s="94">
        <v>5002</v>
      </c>
      <c r="G60" s="94">
        <v>2781.26</v>
      </c>
    </row>
    <row r="61" spans="2:7" x14ac:dyDescent="0.3">
      <c r="B61" s="40" t="s">
        <v>191</v>
      </c>
      <c r="C61" s="39"/>
      <c r="D61" s="59"/>
      <c r="E61" s="19"/>
      <c r="G61" s="19"/>
    </row>
    <row r="62" spans="2:7" x14ac:dyDescent="0.3">
      <c r="B62" s="112" t="s">
        <v>187</v>
      </c>
      <c r="C62" s="83">
        <v>3723.03</v>
      </c>
      <c r="D62" s="83">
        <v>10831.63</v>
      </c>
      <c r="E62" s="83">
        <v>9085.36</v>
      </c>
      <c r="F62" s="19">
        <v>642.54999999999995</v>
      </c>
      <c r="G62" s="83">
        <v>1129.51</v>
      </c>
    </row>
    <row r="63" spans="2:7" x14ac:dyDescent="0.3">
      <c r="B63" s="112" t="s">
        <v>188</v>
      </c>
      <c r="C63" s="83">
        <v>4174.3900000000003</v>
      </c>
      <c r="D63" s="86">
        <v>3655.46</v>
      </c>
      <c r="E63" s="86">
        <v>2742.26</v>
      </c>
      <c r="F63" s="86">
        <v>2318.0300000000002</v>
      </c>
      <c r="G63" s="86">
        <v>1092.99</v>
      </c>
    </row>
    <row r="64" spans="2:7" x14ac:dyDescent="0.3">
      <c r="B64" s="112"/>
      <c r="C64" s="94">
        <v>7897.42</v>
      </c>
      <c r="D64" s="93">
        <v>14487.09</v>
      </c>
      <c r="E64" s="94">
        <v>11827.62</v>
      </c>
      <c r="F64" s="116">
        <v>1675.48</v>
      </c>
      <c r="G64" s="77">
        <v>36.520000000000003</v>
      </c>
    </row>
    <row r="65" spans="2:7" x14ac:dyDescent="0.3">
      <c r="B65" s="40" t="s">
        <v>192</v>
      </c>
      <c r="C65" s="39"/>
      <c r="D65" s="59"/>
      <c r="E65" s="19"/>
      <c r="G65" s="19"/>
    </row>
    <row r="66" spans="2:7" x14ac:dyDescent="0.3">
      <c r="B66" s="112" t="s">
        <v>193</v>
      </c>
      <c r="C66" s="19">
        <v>103.98</v>
      </c>
      <c r="D66" s="19">
        <v>108.16</v>
      </c>
      <c r="E66" s="19">
        <v>62.88</v>
      </c>
      <c r="F66">
        <v>67.42</v>
      </c>
      <c r="G66" s="19">
        <v>25.76</v>
      </c>
    </row>
    <row r="67" spans="2:7" x14ac:dyDescent="0.3">
      <c r="B67" s="19" t="s">
        <v>194</v>
      </c>
      <c r="C67" s="19">
        <v>103.88</v>
      </c>
      <c r="D67" s="130">
        <v>108</v>
      </c>
      <c r="E67" s="19">
        <v>62.82</v>
      </c>
      <c r="F67">
        <v>67.38</v>
      </c>
      <c r="G67" s="19">
        <v>25.74</v>
      </c>
    </row>
    <row r="68" spans="2:7" x14ac:dyDescent="0.3">
      <c r="B68" s="31" t="s">
        <v>195</v>
      </c>
      <c r="C68" s="39"/>
      <c r="D68" s="59"/>
      <c r="E68" s="19"/>
      <c r="G68" s="19"/>
    </row>
    <row r="69" spans="2:7" x14ac:dyDescent="0.3">
      <c r="B69" s="19" t="s">
        <v>193</v>
      </c>
      <c r="C69" s="39"/>
      <c r="D69" s="129">
        <v>6.82</v>
      </c>
      <c r="E69" s="19">
        <v>2.69</v>
      </c>
      <c r="G69" s="19"/>
    </row>
    <row r="70" spans="2:7" x14ac:dyDescent="0.3">
      <c r="B70" s="19" t="s">
        <v>194</v>
      </c>
      <c r="C70" s="39"/>
      <c r="D70" s="114">
        <v>6.8</v>
      </c>
      <c r="E70" s="19">
        <v>2.68</v>
      </c>
      <c r="G70" s="19"/>
    </row>
    <row r="71" spans="2:7" x14ac:dyDescent="0.3">
      <c r="B71" s="31" t="s">
        <v>196</v>
      </c>
      <c r="C71" s="39"/>
      <c r="D71" s="59"/>
      <c r="E71" s="19"/>
      <c r="G71" s="19"/>
    </row>
    <row r="72" spans="2:7" x14ac:dyDescent="0.3">
      <c r="B72" s="19" t="s">
        <v>193</v>
      </c>
      <c r="C72" s="19">
        <v>103.98</v>
      </c>
      <c r="D72">
        <v>114.98</v>
      </c>
      <c r="E72" s="19">
        <v>65.569999999999993</v>
      </c>
      <c r="F72">
        <v>67.42</v>
      </c>
      <c r="G72" s="19">
        <v>25.76</v>
      </c>
    </row>
    <row r="73" spans="2:7" x14ac:dyDescent="0.3">
      <c r="B73" s="19" t="s">
        <v>194</v>
      </c>
      <c r="C73" s="19">
        <v>103.88</v>
      </c>
      <c r="D73" s="55">
        <v>114.8</v>
      </c>
      <c r="E73" s="19">
        <v>65.5</v>
      </c>
      <c r="F73" s="6">
        <v>67.38</v>
      </c>
      <c r="G73" s="19">
        <v>25.74</v>
      </c>
    </row>
    <row r="74" spans="2:7" x14ac:dyDescent="0.3">
      <c r="B74" s="42"/>
      <c r="C74" s="42"/>
      <c r="D74" s="61"/>
      <c r="E74" s="4"/>
      <c r="F74" s="16"/>
      <c r="G74" s="4"/>
    </row>
    <row r="75" spans="2:7" x14ac:dyDescent="0.3">
      <c r="D75" s="10"/>
    </row>
    <row r="80" spans="2:7" x14ac:dyDescent="0.3">
      <c r="C80" s="9"/>
      <c r="D80" s="9"/>
      <c r="E80" s="9"/>
    </row>
    <row r="82" spans="3:7" x14ac:dyDescent="0.3">
      <c r="C82" s="55"/>
      <c r="D82" s="55"/>
      <c r="E82" s="55"/>
    </row>
    <row r="84" spans="3:7" x14ac:dyDescent="0.3">
      <c r="C84" s="55"/>
      <c r="D84" s="55"/>
      <c r="E84" s="55"/>
      <c r="F84" s="55"/>
      <c r="G84" s="55"/>
    </row>
  </sheetData>
  <mergeCells count="4">
    <mergeCell ref="I2:N2"/>
    <mergeCell ref="I3:N3"/>
    <mergeCell ref="B2:G2"/>
    <mergeCell ref="B3:G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99E6-FEDF-4C12-B5E4-E99586E280D0}">
  <sheetPr>
    <tabColor rgb="FFFFFF00"/>
  </sheetPr>
  <dimension ref="B2:Y160"/>
  <sheetViews>
    <sheetView zoomScale="60" zoomScaleNormal="6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S41" sqref="S41"/>
    </sheetView>
  </sheetViews>
  <sheetFormatPr defaultRowHeight="14.4" x14ac:dyDescent="0.3"/>
  <cols>
    <col min="1" max="1" width="3.88671875" customWidth="1"/>
    <col min="2" max="2" width="60.21875" customWidth="1"/>
    <col min="3" max="3" width="11" bestFit="1" customWidth="1"/>
    <col min="4" max="4" width="11.88671875" customWidth="1"/>
    <col min="5" max="5" width="11" bestFit="1" customWidth="1"/>
    <col min="6" max="6" width="11.109375" customWidth="1"/>
    <col min="7" max="7" width="11.33203125" bestFit="1" customWidth="1"/>
    <col min="8" max="8" width="4.33203125" customWidth="1"/>
    <col min="9" max="9" width="74.5546875" customWidth="1"/>
    <col min="10" max="10" width="18" customWidth="1"/>
    <col min="11" max="11" width="19.21875" customWidth="1"/>
    <col min="12" max="14" width="18.44140625" bestFit="1" customWidth="1"/>
    <col min="15" max="15" width="17.33203125" customWidth="1"/>
    <col min="19" max="19" width="43.109375" customWidth="1"/>
    <col min="21" max="21" width="9.44140625" bestFit="1" customWidth="1"/>
    <col min="23" max="24" width="12.6640625" bestFit="1" customWidth="1"/>
    <col min="25" max="25" width="11.5546875" bestFit="1" customWidth="1"/>
  </cols>
  <sheetData>
    <row r="2" spans="2:25" ht="15.6" x14ac:dyDescent="0.3">
      <c r="B2" s="295" t="s">
        <v>129</v>
      </c>
      <c r="C2" s="296"/>
      <c r="D2" s="296"/>
      <c r="E2" s="296"/>
      <c r="F2" s="296"/>
      <c r="G2" s="297"/>
      <c r="I2" s="332" t="s">
        <v>384</v>
      </c>
      <c r="J2" s="333"/>
      <c r="K2" s="333"/>
      <c r="L2" s="333"/>
      <c r="M2" s="333"/>
      <c r="N2" s="333"/>
      <c r="O2" s="334"/>
    </row>
    <row r="3" spans="2:25" ht="15.6" x14ac:dyDescent="0.3">
      <c r="B3" s="298" t="s">
        <v>128</v>
      </c>
      <c r="C3" s="299"/>
      <c r="D3" s="299"/>
      <c r="E3" s="299"/>
      <c r="F3" s="299"/>
      <c r="G3" s="300"/>
      <c r="I3" s="335"/>
      <c r="J3" s="336"/>
      <c r="K3" s="336"/>
      <c r="L3" s="336"/>
      <c r="M3" s="336"/>
      <c r="N3" s="336"/>
      <c r="O3" s="337"/>
      <c r="R3" s="331" t="s">
        <v>385</v>
      </c>
      <c r="S3" s="331"/>
      <c r="T3" s="331"/>
      <c r="U3" s="331"/>
      <c r="V3" s="331"/>
      <c r="W3" s="331"/>
      <c r="X3" s="331"/>
      <c r="Y3" s="331"/>
    </row>
    <row r="4" spans="2:25" ht="43.2" x14ac:dyDescent="0.3">
      <c r="B4" s="2" t="s">
        <v>0</v>
      </c>
      <c r="C4" s="1" t="s">
        <v>59</v>
      </c>
      <c r="D4" s="1" t="s">
        <v>58</v>
      </c>
      <c r="E4" s="18" t="s">
        <v>1</v>
      </c>
      <c r="F4" s="24" t="s">
        <v>2</v>
      </c>
      <c r="G4" s="1" t="s">
        <v>3</v>
      </c>
      <c r="I4" s="2" t="s">
        <v>0</v>
      </c>
      <c r="J4" s="1" t="s">
        <v>386</v>
      </c>
      <c r="K4" s="1" t="s">
        <v>60</v>
      </c>
      <c r="L4" s="1" t="s">
        <v>387</v>
      </c>
      <c r="M4" s="18" t="s">
        <v>388</v>
      </c>
      <c r="N4" s="1" t="s">
        <v>389</v>
      </c>
      <c r="O4" s="30" t="s">
        <v>390</v>
      </c>
      <c r="R4" s="36" t="s">
        <v>391</v>
      </c>
      <c r="S4" s="251" t="s">
        <v>0</v>
      </c>
      <c r="T4" s="1" t="s">
        <v>386</v>
      </c>
      <c r="U4" s="1" t="s">
        <v>60</v>
      </c>
      <c r="V4" s="1" t="s">
        <v>387</v>
      </c>
      <c r="W4" s="24" t="s">
        <v>388</v>
      </c>
      <c r="X4" s="1" t="s">
        <v>389</v>
      </c>
      <c r="Y4" s="30" t="s">
        <v>390</v>
      </c>
    </row>
    <row r="5" spans="2:25" x14ac:dyDescent="0.3">
      <c r="B5" s="5" t="s">
        <v>4</v>
      </c>
      <c r="C5" s="12"/>
      <c r="D5" s="54"/>
      <c r="F5" s="8"/>
      <c r="G5" s="27"/>
      <c r="I5" s="252" t="s">
        <v>392</v>
      </c>
      <c r="J5" s="253"/>
      <c r="K5" s="253"/>
      <c r="L5" s="253"/>
      <c r="N5" s="19"/>
      <c r="O5" s="6"/>
      <c r="R5" s="54">
        <v>1</v>
      </c>
      <c r="S5" s="8" t="s">
        <v>393</v>
      </c>
      <c r="T5" s="3" t="s">
        <v>347</v>
      </c>
      <c r="U5" s="254">
        <f>K8</f>
        <v>9.2670663334051759E-2</v>
      </c>
      <c r="V5" s="254">
        <f t="shared" ref="V5:Y5" si="0">L8</f>
        <v>9.7748288795765081E-2</v>
      </c>
      <c r="W5" s="254">
        <f t="shared" si="0"/>
        <v>6.974179970121315E-2</v>
      </c>
      <c r="X5" s="254">
        <f t="shared" si="0"/>
        <v>7.4396808865920164E-2</v>
      </c>
      <c r="Y5" s="254">
        <f t="shared" si="0"/>
        <v>6.2012536982290291E-2</v>
      </c>
    </row>
    <row r="6" spans="2:25" x14ac:dyDescent="0.3">
      <c r="B6" s="7" t="s">
        <v>5</v>
      </c>
      <c r="C6" s="12"/>
      <c r="D6" s="3"/>
      <c r="F6" s="8"/>
      <c r="G6" s="19"/>
      <c r="I6" s="255" t="s">
        <v>394</v>
      </c>
      <c r="J6" s="256" t="s">
        <v>347</v>
      </c>
      <c r="K6" s="162">
        <f>C92/C120</f>
        <v>10.617887382426748</v>
      </c>
      <c r="L6" s="162">
        <f t="shared" ref="L6:O6" si="1">D92/D120</f>
        <v>8.9519369910809097</v>
      </c>
      <c r="M6" s="162">
        <f t="shared" si="1"/>
        <v>11.319468562386284</v>
      </c>
      <c r="N6" s="162">
        <f t="shared" si="1"/>
        <v>11.624909396958136</v>
      </c>
      <c r="O6" s="162">
        <f t="shared" si="1"/>
        <v>28.126616728724763</v>
      </c>
      <c r="R6" s="3"/>
      <c r="S6" s="258" t="s">
        <v>395</v>
      </c>
      <c r="T6" s="19"/>
      <c r="U6" s="8"/>
      <c r="V6" s="8"/>
      <c r="W6" s="8"/>
      <c r="X6" s="19"/>
      <c r="Y6" s="6"/>
    </row>
    <row r="7" spans="2:25" x14ac:dyDescent="0.3">
      <c r="B7" s="8" t="s">
        <v>6</v>
      </c>
      <c r="C7" s="82">
        <v>63753.53</v>
      </c>
      <c r="D7" s="83">
        <v>58148.57</v>
      </c>
      <c r="E7" s="83">
        <v>53767.33</v>
      </c>
      <c r="F7" s="83">
        <v>55758.44</v>
      </c>
      <c r="G7" s="83">
        <v>55652.22</v>
      </c>
      <c r="I7" s="255" t="s">
        <v>396</v>
      </c>
      <c r="J7" s="256" t="s">
        <v>347</v>
      </c>
      <c r="K7" s="162">
        <f>C120/J89</f>
        <v>3.5359727019409162E-2</v>
      </c>
      <c r="L7" s="162">
        <f t="shared" ref="L7:O7" si="2">D120/K89</f>
        <v>3.8424038451965431E-2</v>
      </c>
      <c r="M7" s="162">
        <f t="shared" si="2"/>
        <v>2.6391429241371538E-2</v>
      </c>
      <c r="N7" s="162">
        <f t="shared" si="2"/>
        <v>2.7502558589943819E-2</v>
      </c>
      <c r="O7" s="162">
        <f t="shared" si="2"/>
        <v>2.2761498309539507E-2</v>
      </c>
      <c r="R7" s="3">
        <v>2</v>
      </c>
      <c r="S7" s="8" t="s">
        <v>397</v>
      </c>
      <c r="T7" s="3" t="s">
        <v>347</v>
      </c>
      <c r="U7" s="254">
        <f>K7</f>
        <v>3.5359727019409162E-2</v>
      </c>
      <c r="V7" s="254">
        <f t="shared" ref="V7:Y7" si="3">L7</f>
        <v>3.8424038451965431E-2</v>
      </c>
      <c r="W7" s="254">
        <f t="shared" si="3"/>
        <v>2.6391429241371538E-2</v>
      </c>
      <c r="X7" s="254">
        <f t="shared" si="3"/>
        <v>2.7502558589943819E-2</v>
      </c>
      <c r="Y7" s="254">
        <f t="shared" si="3"/>
        <v>2.2761498309539507E-2</v>
      </c>
    </row>
    <row r="8" spans="2:25" x14ac:dyDescent="0.3">
      <c r="B8" s="8" t="s">
        <v>12</v>
      </c>
      <c r="C8" s="35">
        <v>7730.18</v>
      </c>
      <c r="D8" s="83">
        <v>6572.18</v>
      </c>
      <c r="E8" s="35">
        <v>5719.43</v>
      </c>
      <c r="F8" s="35">
        <v>3822.45</v>
      </c>
      <c r="G8" s="35">
        <v>2728.2</v>
      </c>
      <c r="I8" s="259" t="s">
        <v>398</v>
      </c>
      <c r="J8" s="256" t="s">
        <v>347</v>
      </c>
      <c r="K8" s="260">
        <f>C120/J90</f>
        <v>9.2670663334051759E-2</v>
      </c>
      <c r="L8" s="260">
        <f t="shared" ref="L8:O8" si="4">D120/K90</f>
        <v>9.7748288795765081E-2</v>
      </c>
      <c r="M8" s="260">
        <f t="shared" si="4"/>
        <v>6.974179970121315E-2</v>
      </c>
      <c r="N8" s="260">
        <f t="shared" si="4"/>
        <v>7.4396808865920164E-2</v>
      </c>
      <c r="O8" s="260">
        <f t="shared" si="4"/>
        <v>6.2012536982290291E-2</v>
      </c>
      <c r="R8" s="3">
        <v>3</v>
      </c>
      <c r="S8" s="8" t="s">
        <v>399</v>
      </c>
      <c r="T8" s="3" t="s">
        <v>400</v>
      </c>
      <c r="U8" s="233">
        <f>K32</f>
        <v>2.7434488119302771</v>
      </c>
      <c r="V8" s="233">
        <f t="shared" ref="V8:Y8" si="5">L32</f>
        <v>2.4910312235769729</v>
      </c>
      <c r="W8" s="233">
        <f t="shared" si="5"/>
        <v>2.6038625567463844</v>
      </c>
      <c r="X8" s="233">
        <f t="shared" si="5"/>
        <v>2.6862495226005696</v>
      </c>
      <c r="Y8" s="233">
        <f t="shared" si="5"/>
        <v>2.7244488099581909</v>
      </c>
    </row>
    <row r="9" spans="2:25" x14ac:dyDescent="0.3">
      <c r="B9" s="8" t="s">
        <v>130</v>
      </c>
      <c r="C9" s="6">
        <v>14.37</v>
      </c>
      <c r="D9" s="19">
        <v>14.81</v>
      </c>
      <c r="E9">
        <v>15.24</v>
      </c>
      <c r="F9">
        <v>15.67</v>
      </c>
      <c r="G9">
        <v>16.11</v>
      </c>
      <c r="I9" s="255" t="s">
        <v>401</v>
      </c>
      <c r="J9" s="256" t="s">
        <v>347</v>
      </c>
      <c r="K9" s="162">
        <f>J91/C92</f>
        <v>0.14484300723948937</v>
      </c>
      <c r="L9" s="162">
        <f t="shared" ref="L9:O9" si="6">K91/D92</f>
        <v>0.17001157666581368</v>
      </c>
      <c r="M9" s="162">
        <f t="shared" si="6"/>
        <v>0.19104552866109639</v>
      </c>
      <c r="N9" s="162">
        <f t="shared" si="6"/>
        <v>0.17296493015790002</v>
      </c>
      <c r="O9" s="162">
        <f t="shared" si="6"/>
        <v>0.16910748346022195</v>
      </c>
      <c r="R9" s="3"/>
      <c r="S9" s="258" t="s">
        <v>402</v>
      </c>
      <c r="T9" s="19"/>
      <c r="U9" s="8"/>
      <c r="V9" s="8"/>
      <c r="W9" s="8"/>
      <c r="X9" s="19"/>
      <c r="Y9" s="6"/>
    </row>
    <row r="10" spans="2:25" x14ac:dyDescent="0.3">
      <c r="B10" s="8" t="s">
        <v>131</v>
      </c>
      <c r="C10" s="82">
        <v>20137.55</v>
      </c>
      <c r="D10" s="83">
        <v>20058.5</v>
      </c>
      <c r="E10" s="35">
        <v>20013.86</v>
      </c>
      <c r="F10" s="35">
        <v>20046.5</v>
      </c>
      <c r="G10" s="35">
        <v>21346.39</v>
      </c>
      <c r="I10" s="255" t="s">
        <v>403</v>
      </c>
      <c r="J10" s="256" t="s">
        <v>347</v>
      </c>
      <c r="K10" s="162">
        <f>J93/C92</f>
        <v>0.18353809343902777</v>
      </c>
      <c r="L10" s="162">
        <f t="shared" ref="L10:O10" si="7">K93/D92</f>
        <v>0.21349141854437875</v>
      </c>
      <c r="M10" s="162">
        <f t="shared" si="7"/>
        <v>0.24384023573450597</v>
      </c>
      <c r="N10" s="162">
        <f t="shared" si="7"/>
        <v>0.22502051527147796</v>
      </c>
      <c r="O10" s="162">
        <f t="shared" si="7"/>
        <v>0.21536873261420786</v>
      </c>
      <c r="R10" s="3">
        <v>4</v>
      </c>
      <c r="S10" s="8" t="s">
        <v>404</v>
      </c>
      <c r="T10" s="3" t="s">
        <v>400</v>
      </c>
      <c r="U10" s="233">
        <f>K14</f>
        <v>0.3754455993654387</v>
      </c>
      <c r="V10" s="233">
        <f t="shared" ref="V10:Y10" si="8">L14</f>
        <v>0.34396957116486454</v>
      </c>
      <c r="W10" s="233">
        <f t="shared" si="8"/>
        <v>0.2987369536141472</v>
      </c>
      <c r="X10" s="233">
        <f t="shared" si="8"/>
        <v>0.31971475179262959</v>
      </c>
      <c r="Y10" s="233">
        <f t="shared" si="8"/>
        <v>0.64020393912393436</v>
      </c>
    </row>
    <row r="11" spans="2:25" x14ac:dyDescent="0.3">
      <c r="B11" s="8" t="s">
        <v>13</v>
      </c>
      <c r="C11" s="82">
        <v>8591.89</v>
      </c>
      <c r="D11" s="83">
        <v>8895.41</v>
      </c>
      <c r="E11" s="35">
        <v>9254.48</v>
      </c>
      <c r="F11" s="35">
        <v>9684.2900000000009</v>
      </c>
      <c r="G11" s="35">
        <v>10114.469999999999</v>
      </c>
      <c r="I11" s="255" t="s">
        <v>405</v>
      </c>
      <c r="J11" s="256" t="s">
        <v>347</v>
      </c>
      <c r="K11" s="162">
        <f>J91/J95</f>
        <v>6.8261461141258167E-2</v>
      </c>
      <c r="L11" s="162">
        <f t="shared" ref="L11:O11" si="9">K91/K95</f>
        <v>7.277452548540822E-2</v>
      </c>
      <c r="M11" s="162">
        <f t="shared" si="9"/>
        <v>7.0524585390597958E-2</v>
      </c>
      <c r="N11" s="162">
        <f t="shared" si="9"/>
        <v>6.8646375546662017E-2</v>
      </c>
      <c r="O11" s="162">
        <f t="shared" si="9"/>
        <v>0.13535832609114437</v>
      </c>
      <c r="R11" s="3">
        <v>5</v>
      </c>
      <c r="S11" s="8" t="s">
        <v>406</v>
      </c>
      <c r="T11" s="3" t="s">
        <v>347</v>
      </c>
      <c r="U11" s="254">
        <f>K6</f>
        <v>10.617887382426748</v>
      </c>
      <c r="V11" s="254">
        <f t="shared" ref="V11:Y11" si="10">L6</f>
        <v>8.9519369910809097</v>
      </c>
      <c r="W11" s="254">
        <f t="shared" si="10"/>
        <v>11.319468562386284</v>
      </c>
      <c r="X11" s="254">
        <f t="shared" si="10"/>
        <v>11.624909396958136</v>
      </c>
      <c r="Y11" s="254">
        <f t="shared" si="10"/>
        <v>28.126616728724763</v>
      </c>
    </row>
    <row r="12" spans="2:25" x14ac:dyDescent="0.3">
      <c r="B12" s="8" t="s">
        <v>132</v>
      </c>
      <c r="C12" s="6">
        <v>47.5</v>
      </c>
      <c r="D12" s="19">
        <v>42.94</v>
      </c>
      <c r="E12">
        <v>49.26</v>
      </c>
      <c r="F12">
        <v>81.680000000000007</v>
      </c>
      <c r="G12">
        <v>37.770000000000003</v>
      </c>
      <c r="I12" s="255"/>
      <c r="J12" s="19"/>
      <c r="K12" s="19"/>
      <c r="L12" s="19"/>
      <c r="N12" s="19"/>
      <c r="O12" s="6"/>
      <c r="R12" s="3"/>
      <c r="S12" s="258" t="s">
        <v>407</v>
      </c>
      <c r="T12" s="19"/>
      <c r="U12" s="8"/>
      <c r="V12" s="8"/>
      <c r="W12" s="8"/>
      <c r="X12" s="19"/>
      <c r="Y12" s="6"/>
    </row>
    <row r="13" spans="2:25" x14ac:dyDescent="0.3">
      <c r="B13" s="8" t="s">
        <v>133</v>
      </c>
      <c r="C13" s="82">
        <v>2399.0300000000002</v>
      </c>
      <c r="D13" s="83">
        <v>1878.83</v>
      </c>
      <c r="E13" s="35">
        <v>1971.89</v>
      </c>
      <c r="F13" s="35">
        <v>2062.63</v>
      </c>
      <c r="G13" s="3"/>
      <c r="I13" s="261" t="s">
        <v>408</v>
      </c>
      <c r="J13" s="109"/>
      <c r="K13" s="109"/>
      <c r="L13" s="109"/>
      <c r="N13" s="19"/>
      <c r="O13" s="6"/>
      <c r="R13" s="3">
        <v>6</v>
      </c>
      <c r="S13" s="8" t="s">
        <v>409</v>
      </c>
      <c r="T13" s="3" t="s">
        <v>347</v>
      </c>
      <c r="U13" s="262" cm="1">
        <f t="array" ref="U13:U15">'Vertical Analysis of P&amp;L'!J9:J11</f>
        <v>18.382042638480865</v>
      </c>
      <c r="V13" s="262" cm="1">
        <f t="array" ref="V13:V15">'Vertical Analysis of P&amp;L'!K9:K11</f>
        <v>17.648276462357337</v>
      </c>
      <c r="W13" s="262" cm="1">
        <f t="array" ref="W13:W15">'Vertical Analysis of P&amp;L'!L9:L11</f>
        <v>14.407153817629064</v>
      </c>
      <c r="X13" s="262" cm="1">
        <f t="array" ref="X13:X15">'Vertical Analysis of P&amp;L'!M9:M11</f>
        <v>18.831602149304796</v>
      </c>
      <c r="Y13" s="262" cm="1">
        <f t="array" ref="Y13:Y15">'Vertical Analysis of P&amp;L'!N9:N11</f>
        <v>19.768226139164057</v>
      </c>
    </row>
    <row r="14" spans="2:25" x14ac:dyDescent="0.3">
      <c r="B14" t="s">
        <v>134</v>
      </c>
      <c r="C14" s="82">
        <v>11016.84</v>
      </c>
      <c r="D14" s="83">
        <v>7050.17</v>
      </c>
      <c r="E14" s="35">
        <v>6837.66</v>
      </c>
      <c r="F14" s="35">
        <v>6533.09</v>
      </c>
      <c r="G14" s="35">
        <v>6284.29</v>
      </c>
      <c r="I14" s="255" t="s">
        <v>410</v>
      </c>
      <c r="J14" s="256" t="s">
        <v>400</v>
      </c>
      <c r="K14" s="134">
        <f>C92/J89</f>
        <v>0.3754455993654387</v>
      </c>
      <c r="L14" s="134">
        <f t="shared" ref="L14:O14" si="11">D92/K89</f>
        <v>0.34396957116486454</v>
      </c>
      <c r="M14" s="134">
        <f t="shared" si="11"/>
        <v>0.2987369536141472</v>
      </c>
      <c r="N14" s="134">
        <f t="shared" si="11"/>
        <v>0.31971475179262959</v>
      </c>
      <c r="O14" s="134">
        <f t="shared" si="11"/>
        <v>0.64020393912393436</v>
      </c>
      <c r="R14" s="3">
        <v>7</v>
      </c>
      <c r="S14" s="8" t="s">
        <v>411</v>
      </c>
      <c r="T14" s="3" t="s">
        <v>347</v>
      </c>
      <c r="U14" s="262">
        <v>1.550960884177351</v>
      </c>
      <c r="V14" s="262">
        <v>1.4676524718151185</v>
      </c>
      <c r="W14" s="262">
        <v>1.1760022964009047</v>
      </c>
      <c r="X14" s="263">
        <v>1.8935370131568268</v>
      </c>
      <c r="Y14" s="264">
        <v>1.952079170728074</v>
      </c>
    </row>
    <row r="15" spans="2:25" x14ac:dyDescent="0.3">
      <c r="B15" s="8" t="s">
        <v>14</v>
      </c>
      <c r="C15" s="8"/>
      <c r="D15" s="3"/>
      <c r="F15" s="8"/>
      <c r="G15" s="19"/>
      <c r="I15" s="255" t="s">
        <v>412</v>
      </c>
      <c r="J15" s="256" t="s">
        <v>400</v>
      </c>
      <c r="K15" s="134"/>
      <c r="L15" s="134"/>
      <c r="M15" s="55"/>
      <c r="N15" s="134"/>
      <c r="O15" s="152"/>
      <c r="R15" s="3">
        <v>8</v>
      </c>
      <c r="S15" s="8" t="s">
        <v>413</v>
      </c>
      <c r="T15" s="3" t="s">
        <v>347</v>
      </c>
      <c r="U15" s="262">
        <v>0.70958150113052199</v>
      </c>
      <c r="V15" s="262">
        <v>0.96314432232931824</v>
      </c>
      <c r="W15" s="262">
        <v>0.94771041211783413</v>
      </c>
      <c r="X15" s="263">
        <v>0.67748704993616748</v>
      </c>
      <c r="Y15" s="264">
        <v>0.10348412084157758</v>
      </c>
    </row>
    <row r="16" spans="2:25" x14ac:dyDescent="0.3">
      <c r="B16" s="8" t="s">
        <v>140</v>
      </c>
      <c r="C16" s="3"/>
      <c r="D16" s="3"/>
      <c r="E16" s="9"/>
      <c r="F16" s="25"/>
      <c r="G16" s="20"/>
      <c r="I16" s="255" t="s">
        <v>414</v>
      </c>
      <c r="J16" s="256" t="s">
        <v>400</v>
      </c>
      <c r="K16" s="134">
        <f>C92/J97</f>
        <v>1.8932031787546524</v>
      </c>
      <c r="L16" s="134">
        <f t="shared" ref="L16:O16" si="12">D92/K97</f>
        <v>1.6757815909773621</v>
      </c>
      <c r="M16" s="134">
        <f t="shared" si="12"/>
        <v>2.659232089915252</v>
      </c>
      <c r="N16" s="134" t="e">
        <f t="shared" si="12"/>
        <v>#DIV/0!</v>
      </c>
      <c r="O16" s="134" t="e">
        <f t="shared" si="12"/>
        <v>#DIV/0!</v>
      </c>
      <c r="R16" s="3">
        <v>9</v>
      </c>
      <c r="S16" s="8" t="s">
        <v>415</v>
      </c>
      <c r="T16" s="3" t="s">
        <v>347</v>
      </c>
      <c r="U16" s="262">
        <f>'Vertical Analysis of P&amp;L'!J20</f>
        <v>12.853536787617273</v>
      </c>
      <c r="V16" s="262">
        <f>'Vertical Analysis of P&amp;L'!K20</f>
        <v>13.083910294476148</v>
      </c>
      <c r="W16" s="262">
        <f>'Vertical Analysis of P&amp;L'!L20</f>
        <v>10.522310447118022</v>
      </c>
      <c r="X16" s="262">
        <f>'Vertical Analysis of P&amp;L'!M20</f>
        <v>11.544032970143613</v>
      </c>
      <c r="Y16" s="262">
        <f>'Vertical Analysis of P&amp;L'!N20</f>
        <v>12.283626024527122</v>
      </c>
    </row>
    <row r="17" spans="2:25" x14ac:dyDescent="0.3">
      <c r="B17" s="8" t="s">
        <v>141</v>
      </c>
      <c r="C17" s="82">
        <v>39523.43</v>
      </c>
      <c r="D17" s="84">
        <v>30952.639999999999</v>
      </c>
      <c r="E17" s="35">
        <v>25046.58</v>
      </c>
      <c r="F17" s="35">
        <v>19269.34</v>
      </c>
      <c r="G17" s="35">
        <v>15601.37</v>
      </c>
      <c r="I17" s="255" t="s">
        <v>416</v>
      </c>
      <c r="J17" s="256" t="s">
        <v>400</v>
      </c>
      <c r="K17" s="134">
        <f>C92/J98</f>
        <v>11.367367992280474</v>
      </c>
      <c r="L17" s="134">
        <f t="shared" ref="L17:O17" si="13">D92/K98</f>
        <v>12.165361797655684</v>
      </c>
      <c r="M17" s="134">
        <f t="shared" si="13"/>
        <v>11.751222262128987</v>
      </c>
      <c r="N17" s="134">
        <f t="shared" si="13"/>
        <v>11.197515993854898</v>
      </c>
      <c r="O17" s="134">
        <f t="shared" si="13"/>
        <v>21.872454537598827</v>
      </c>
      <c r="R17" s="3">
        <v>10</v>
      </c>
      <c r="S17" s="8" t="s">
        <v>417</v>
      </c>
      <c r="T17" s="3" t="s">
        <v>347</v>
      </c>
      <c r="U17" s="262" cm="1">
        <f t="array" ref="U17:U18">'Vertical Analysis of P&amp;L'!J17:J18</f>
        <v>4.0156229330864965</v>
      </c>
      <c r="V17" s="262" cm="1">
        <f t="array" ref="V17:V18">'Vertical Analysis of P&amp;L'!K17:K18</f>
        <v>3.6366341755839251</v>
      </c>
      <c r="W17" s="262" cm="1">
        <f t="array" ref="W17:W18">'Vertical Analysis of P&amp;L'!L17:L18</f>
        <v>5.1239688676939821</v>
      </c>
      <c r="X17" s="262" cm="1">
        <f t="array" ref="X17:X18">'Vertical Analysis of P&amp;L'!M17:M18</f>
        <v>5.9102274908502528</v>
      </c>
      <c r="Y17" s="262" cm="1">
        <f t="array" ref="Y17:Y18">'Vertical Analysis of P&amp;L'!N17:N18</f>
        <v>5.2463301608479247</v>
      </c>
    </row>
    <row r="18" spans="2:25" x14ac:dyDescent="0.3">
      <c r="B18" s="8" t="s">
        <v>142</v>
      </c>
      <c r="C18" s="84">
        <v>9502.9</v>
      </c>
      <c r="D18" s="84">
        <v>13881.17</v>
      </c>
      <c r="E18" s="35">
        <v>10592.62</v>
      </c>
      <c r="F18" s="35">
        <v>6211.67</v>
      </c>
      <c r="G18" s="35">
        <v>8751.2199999999993</v>
      </c>
      <c r="I18" s="255" t="s">
        <v>418</v>
      </c>
      <c r="J18" s="256" t="s">
        <v>419</v>
      </c>
      <c r="K18" s="130">
        <f>365/K17</f>
        <v>32.109455790282304</v>
      </c>
      <c r="L18" s="130">
        <f t="shared" ref="L18:O18" si="14">365/L17</f>
        <v>30.003217830343278</v>
      </c>
      <c r="M18" s="130">
        <f t="shared" si="14"/>
        <v>31.060598792033431</v>
      </c>
      <c r="N18" s="130">
        <f t="shared" si="14"/>
        <v>32.596515173571433</v>
      </c>
      <c r="O18" s="130">
        <f t="shared" si="14"/>
        <v>16.687656128056581</v>
      </c>
      <c r="R18" s="3">
        <v>11</v>
      </c>
      <c r="S18" s="8" t="s">
        <v>420</v>
      </c>
      <c r="T18" s="3" t="s">
        <v>347</v>
      </c>
      <c r="U18" s="262">
        <v>1.1224201093829755</v>
      </c>
      <c r="V18" s="262">
        <v>1.3539025087791545</v>
      </c>
      <c r="W18" s="262">
        <v>2.367711849331807</v>
      </c>
      <c r="X18" s="263">
        <v>3.0125565055632775</v>
      </c>
      <c r="Y18" s="264">
        <v>2.6034242117091591</v>
      </c>
    </row>
    <row r="19" spans="2:25" x14ac:dyDescent="0.3">
      <c r="B19" s="8" t="s">
        <v>135</v>
      </c>
      <c r="C19" s="82">
        <v>26842.95</v>
      </c>
      <c r="D19" s="84">
        <v>26137.33</v>
      </c>
      <c r="E19" s="35">
        <v>23251.200000000001</v>
      </c>
      <c r="F19" s="35">
        <v>17638.810000000001</v>
      </c>
      <c r="G19" s="35">
        <v>20234.849999999999</v>
      </c>
      <c r="I19" s="255" t="s">
        <v>421</v>
      </c>
      <c r="J19" s="256" t="s">
        <v>400</v>
      </c>
      <c r="K19" s="134"/>
      <c r="L19" s="134"/>
      <c r="M19" s="55"/>
      <c r="N19" s="134"/>
      <c r="O19" s="152"/>
      <c r="R19" s="3"/>
      <c r="S19" s="258" t="s">
        <v>422</v>
      </c>
      <c r="T19" s="19"/>
      <c r="U19" s="8"/>
      <c r="V19" s="8"/>
      <c r="W19" s="8"/>
      <c r="X19" s="19"/>
      <c r="Y19" s="6"/>
    </row>
    <row r="20" spans="2:25" x14ac:dyDescent="0.3">
      <c r="B20" s="8" t="s">
        <v>77</v>
      </c>
      <c r="C20">
        <v>6.82</v>
      </c>
      <c r="D20" s="85"/>
      <c r="E20" s="9"/>
      <c r="F20" s="35"/>
      <c r="G20" s="20"/>
      <c r="I20" s="255" t="s">
        <v>423</v>
      </c>
      <c r="J20" s="256" t="s">
        <v>419</v>
      </c>
      <c r="K20" s="130"/>
      <c r="L20" s="130"/>
      <c r="M20" s="265"/>
      <c r="N20" s="130"/>
      <c r="O20" s="266"/>
      <c r="R20" s="3">
        <v>12</v>
      </c>
      <c r="S20" s="8" t="s">
        <v>424</v>
      </c>
      <c r="T20" s="3" t="s">
        <v>400</v>
      </c>
      <c r="U20" s="233">
        <f>K16</f>
        <v>1.8932031787546524</v>
      </c>
      <c r="V20" s="233">
        <f t="shared" ref="V20:Y20" si="15">L16</f>
        <v>1.6757815909773621</v>
      </c>
      <c r="W20" s="233">
        <f t="shared" si="15"/>
        <v>2.659232089915252</v>
      </c>
      <c r="X20" s="233" t="e">
        <f t="shared" si="15"/>
        <v>#DIV/0!</v>
      </c>
      <c r="Y20" s="233" t="e">
        <f t="shared" si="15"/>
        <v>#DIV/0!</v>
      </c>
    </row>
    <row r="21" spans="2:25" x14ac:dyDescent="0.3">
      <c r="B21" s="8" t="s">
        <v>78</v>
      </c>
      <c r="C21" s="82">
        <v>70871.12</v>
      </c>
      <c r="D21" s="82">
        <v>51954.12</v>
      </c>
      <c r="E21" s="35">
        <v>45743.75</v>
      </c>
      <c r="F21" s="35">
        <v>46054.89</v>
      </c>
      <c r="G21" s="35">
        <v>46384.67</v>
      </c>
      <c r="I21" s="255" t="s">
        <v>425</v>
      </c>
      <c r="J21" s="256" t="s">
        <v>400</v>
      </c>
      <c r="K21" s="134">
        <f>C92/J100</f>
        <v>6.174653110054126</v>
      </c>
      <c r="L21" s="134">
        <f t="shared" ref="L21:O21" si="16">D92/K100</f>
        <v>6.1923561216249787</v>
      </c>
      <c r="M21" s="134">
        <f t="shared" si="16"/>
        <v>6.6624902817729881</v>
      </c>
      <c r="N21" s="134">
        <f t="shared" si="16"/>
        <v>7.9775529164148811</v>
      </c>
      <c r="O21" s="134">
        <f t="shared" si="16"/>
        <v>12.689687196936076</v>
      </c>
      <c r="R21" s="3">
        <v>13</v>
      </c>
      <c r="S21" s="8" t="s">
        <v>426</v>
      </c>
      <c r="T21" s="3" t="s">
        <v>400</v>
      </c>
      <c r="U21" s="233"/>
      <c r="V21" s="233"/>
      <c r="W21" s="233"/>
      <c r="X21" s="134"/>
      <c r="Y21" s="152"/>
    </row>
    <row r="22" spans="2:25" x14ac:dyDescent="0.3">
      <c r="B22" s="8" t="s">
        <v>79</v>
      </c>
      <c r="C22" s="82">
        <v>3759.7</v>
      </c>
      <c r="D22" s="82">
        <v>2458</v>
      </c>
      <c r="E22" s="35">
        <v>1269.33</v>
      </c>
      <c r="F22">
        <v>518.03</v>
      </c>
      <c r="G22">
        <v>318.89999999999998</v>
      </c>
      <c r="I22" s="255" t="s">
        <v>427</v>
      </c>
      <c r="J22" s="256" t="s">
        <v>419</v>
      </c>
      <c r="K22" s="130">
        <f>365/K21</f>
        <v>59.112632482248138</v>
      </c>
      <c r="L22" s="130">
        <f t="shared" ref="L22:O22" si="17">365/L21</f>
        <v>58.943638387550912</v>
      </c>
      <c r="M22" s="130">
        <f t="shared" si="17"/>
        <v>54.784320061006987</v>
      </c>
      <c r="N22" s="130">
        <f t="shared" si="17"/>
        <v>45.753378739608699</v>
      </c>
      <c r="O22" s="130">
        <f t="shared" si="17"/>
        <v>28.763514366857621</v>
      </c>
      <c r="R22" s="3"/>
      <c r="S22" s="258" t="s">
        <v>428</v>
      </c>
      <c r="T22" s="19"/>
      <c r="U22" s="8"/>
      <c r="V22" s="8"/>
      <c r="W22" s="8"/>
      <c r="X22" s="19"/>
      <c r="Y22" s="6"/>
    </row>
    <row r="23" spans="2:25" x14ac:dyDescent="0.3">
      <c r="B23" s="8" t="s">
        <v>33</v>
      </c>
      <c r="C23" s="6">
        <v>382.26</v>
      </c>
      <c r="D23" s="19">
        <v>246.04</v>
      </c>
      <c r="E23">
        <v>205.44</v>
      </c>
      <c r="F23">
        <v>137.57</v>
      </c>
      <c r="G23">
        <v>46.95</v>
      </c>
      <c r="I23" s="267" t="s">
        <v>429</v>
      </c>
      <c r="J23" s="268" t="s">
        <v>419</v>
      </c>
      <c r="K23" s="269"/>
      <c r="L23" s="269"/>
      <c r="M23" s="270"/>
      <c r="N23" s="269"/>
      <c r="O23" s="271"/>
      <c r="R23" s="3">
        <v>14</v>
      </c>
      <c r="S23" s="8" t="s">
        <v>430</v>
      </c>
      <c r="T23" s="3" t="s">
        <v>400</v>
      </c>
      <c r="U23" s="233">
        <f>C92/C7</f>
        <v>1.8450285027354565</v>
      </c>
      <c r="V23" s="233">
        <f t="shared" ref="V23:Y23" si="18">D92/D7</f>
        <v>1.6458036715262303</v>
      </c>
      <c r="W23" s="233">
        <f t="shared" si="18"/>
        <v>1.4208964811903435</v>
      </c>
      <c r="X23" s="233">
        <f t="shared" si="18"/>
        <v>1.3921677148786804</v>
      </c>
      <c r="Y23" s="233">
        <f t="shared" si="18"/>
        <v>1.3871908434200828</v>
      </c>
    </row>
    <row r="24" spans="2:25" x14ac:dyDescent="0.3">
      <c r="B24" s="8" t="s">
        <v>136</v>
      </c>
      <c r="C24">
        <v>826.38</v>
      </c>
      <c r="D24" s="83">
        <v>989.16</v>
      </c>
      <c r="E24">
        <v>683.73</v>
      </c>
      <c r="F24">
        <v>672.89</v>
      </c>
      <c r="G24">
        <v>245.78</v>
      </c>
      <c r="I24" s="255" t="s">
        <v>431</v>
      </c>
      <c r="J24" s="19"/>
      <c r="K24" s="19"/>
      <c r="L24" s="19"/>
      <c r="N24" s="19"/>
      <c r="O24" s="6"/>
      <c r="R24" s="3">
        <v>15</v>
      </c>
      <c r="S24" s="8" t="s">
        <v>432</v>
      </c>
      <c r="T24" s="3" t="s">
        <v>400</v>
      </c>
      <c r="U24" s="235">
        <f>C92/C11</f>
        <v>13.690477880885348</v>
      </c>
      <c r="V24" s="235">
        <f t="shared" ref="V24:Y24" si="19">D92/D11</f>
        <v>10.758484431858678</v>
      </c>
      <c r="W24" s="235">
        <f t="shared" si="19"/>
        <v>8.2552244966762043</v>
      </c>
      <c r="X24" s="235">
        <f t="shared" si="19"/>
        <v>8.015569546141224</v>
      </c>
      <c r="Y24" s="235">
        <f t="shared" si="19"/>
        <v>7.6326540095526516</v>
      </c>
    </row>
    <row r="25" spans="2:25" x14ac:dyDescent="0.3">
      <c r="B25" s="8" t="s">
        <v>137</v>
      </c>
      <c r="C25" s="35">
        <v>4276.22</v>
      </c>
      <c r="D25" s="86">
        <v>3347.27</v>
      </c>
      <c r="E25" s="35">
        <v>2857.15</v>
      </c>
      <c r="F25" s="35">
        <v>3562.51</v>
      </c>
      <c r="G25" s="35">
        <v>3530.17</v>
      </c>
      <c r="I25" s="8" t="s">
        <v>433</v>
      </c>
      <c r="J25" s="19"/>
      <c r="K25" s="130"/>
      <c r="L25" s="130"/>
      <c r="M25" s="130"/>
      <c r="N25" s="130"/>
      <c r="O25" s="130"/>
      <c r="R25" s="3"/>
      <c r="S25" s="258" t="s">
        <v>434</v>
      </c>
      <c r="T25" s="19"/>
      <c r="U25" s="8"/>
      <c r="V25" s="8"/>
      <c r="W25" s="8"/>
      <c r="X25" s="19"/>
      <c r="Y25" s="6"/>
    </row>
    <row r="26" spans="2:25" x14ac:dyDescent="0.3">
      <c r="B26" s="22" t="s">
        <v>34</v>
      </c>
      <c r="C26" s="93">
        <v>269682.67</v>
      </c>
      <c r="D26" s="94">
        <v>232627.14</v>
      </c>
      <c r="E26" s="94">
        <v>207278.95</v>
      </c>
      <c r="F26" s="23">
        <v>192070.46</v>
      </c>
      <c r="G26" s="26">
        <v>191293.36</v>
      </c>
      <c r="I26" s="261" t="s">
        <v>435</v>
      </c>
      <c r="J26" s="109"/>
      <c r="K26" s="109"/>
      <c r="L26" s="272"/>
      <c r="M26" s="272"/>
      <c r="N26" s="272"/>
      <c r="O26" s="272"/>
      <c r="R26" s="3">
        <v>16</v>
      </c>
      <c r="S26" s="8" t="s">
        <v>436</v>
      </c>
      <c r="T26" s="3" t="s">
        <v>400</v>
      </c>
      <c r="U26" s="233">
        <f>K17</f>
        <v>11.367367992280474</v>
      </c>
      <c r="V26" s="233">
        <f t="shared" ref="V26:Y26" si="20">L17</f>
        <v>12.165361797655684</v>
      </c>
      <c r="W26" s="233">
        <f t="shared" si="20"/>
        <v>11.751222262128987</v>
      </c>
      <c r="X26" s="233">
        <f t="shared" si="20"/>
        <v>11.197515993854898</v>
      </c>
      <c r="Y26" s="233">
        <f t="shared" si="20"/>
        <v>21.872454537598827</v>
      </c>
    </row>
    <row r="27" spans="2:25" x14ac:dyDescent="0.3">
      <c r="B27" s="7" t="s">
        <v>7</v>
      </c>
      <c r="C27" s="12"/>
      <c r="D27" s="20"/>
      <c r="F27" s="19"/>
      <c r="G27" s="6"/>
      <c r="I27" s="255" t="s">
        <v>437</v>
      </c>
      <c r="J27" s="256" t="s">
        <v>400</v>
      </c>
      <c r="K27" s="134">
        <f>C41/C61</f>
        <v>0.46632152342351663</v>
      </c>
      <c r="L27" s="134">
        <f t="shared" ref="L27:O27" si="21">D41/D61</f>
        <v>0.4921128896399336</v>
      </c>
      <c r="M27" s="134">
        <f t="shared" si="21"/>
        <v>0.51081163758911097</v>
      </c>
      <c r="N27" s="134">
        <f t="shared" si="21"/>
        <v>0</v>
      </c>
      <c r="O27" s="134">
        <f t="shared" si="21"/>
        <v>0</v>
      </c>
      <c r="R27" s="3">
        <v>17</v>
      </c>
      <c r="S27" s="8" t="s">
        <v>438</v>
      </c>
      <c r="T27" s="3" t="s">
        <v>400</v>
      </c>
      <c r="U27" s="233"/>
      <c r="V27" s="233"/>
      <c r="W27" s="233"/>
      <c r="X27" s="134"/>
      <c r="Y27" s="152"/>
    </row>
    <row r="28" spans="2:25" x14ac:dyDescent="0.3">
      <c r="B28" s="8" t="s">
        <v>16</v>
      </c>
      <c r="C28" s="82">
        <v>11159.15</v>
      </c>
      <c r="D28" s="83">
        <v>9536.42</v>
      </c>
      <c r="E28" s="35">
        <v>6196.96</v>
      </c>
      <c r="F28" s="35">
        <v>6805.57</v>
      </c>
      <c r="G28" s="35">
        <v>7059.13</v>
      </c>
      <c r="I28" s="255" t="s">
        <v>439</v>
      </c>
      <c r="J28" s="256" t="s">
        <v>400</v>
      </c>
      <c r="K28" s="134">
        <f>(C28-C41)/C75</f>
        <v>-0.81033751029547252</v>
      </c>
      <c r="L28" s="134">
        <f t="shared" ref="L28:O28" si="22">(D28-D41)/D75</f>
        <v>-0.81579290611108657</v>
      </c>
      <c r="M28" s="134">
        <f t="shared" si="22"/>
        <v>-0.99684291013096238</v>
      </c>
      <c r="N28" s="134">
        <f t="shared" si="22"/>
        <v>0.14750814478039384</v>
      </c>
      <c r="O28" s="134">
        <f t="shared" si="22"/>
        <v>0.14622305492636681</v>
      </c>
      <c r="R28" s="3">
        <v>18</v>
      </c>
      <c r="S28" s="8" t="s">
        <v>440</v>
      </c>
      <c r="T28" s="3" t="s">
        <v>419</v>
      </c>
      <c r="U28" s="273">
        <f>K18</f>
        <v>32.109455790282304</v>
      </c>
      <c r="V28" s="273">
        <f t="shared" ref="V28:Y28" si="23">L18</f>
        <v>30.003217830343278</v>
      </c>
      <c r="W28" s="273">
        <f t="shared" si="23"/>
        <v>31.060598792033431</v>
      </c>
      <c r="X28" s="273">
        <f t="shared" si="23"/>
        <v>32.596515173571433</v>
      </c>
      <c r="Y28" s="273">
        <f t="shared" si="23"/>
        <v>16.687656128056581</v>
      </c>
    </row>
    <row r="29" spans="2:25" x14ac:dyDescent="0.3">
      <c r="B29" s="8" t="s">
        <v>14</v>
      </c>
      <c r="C29" s="8"/>
      <c r="D29" s="20"/>
      <c r="E29" s="9"/>
      <c r="F29" s="19"/>
      <c r="G29" s="6"/>
      <c r="I29" s="8"/>
      <c r="J29" s="19"/>
      <c r="K29" s="19"/>
      <c r="L29" s="19"/>
      <c r="N29" s="19"/>
      <c r="O29" s="6"/>
      <c r="R29" s="274">
        <v>19</v>
      </c>
      <c r="S29" s="155" t="s">
        <v>441</v>
      </c>
      <c r="T29" s="274" t="s">
        <v>419</v>
      </c>
      <c r="U29" s="275"/>
      <c r="V29" s="275"/>
      <c r="W29" s="275"/>
      <c r="X29" s="276"/>
      <c r="Y29" s="277"/>
    </row>
    <row r="30" spans="2:25" x14ac:dyDescent="0.3">
      <c r="B30" s="8" t="s">
        <v>138</v>
      </c>
      <c r="C30" s="6"/>
      <c r="D30" s="29"/>
      <c r="E30" s="9"/>
      <c r="F30" s="19"/>
      <c r="G30" s="6"/>
      <c r="I30" s="8"/>
      <c r="J30" s="19"/>
      <c r="K30" s="19"/>
      <c r="L30" s="19"/>
      <c r="N30" s="19"/>
      <c r="O30" s="6"/>
    </row>
    <row r="31" spans="2:25" x14ac:dyDescent="0.3">
      <c r="B31" s="8" t="s">
        <v>141</v>
      </c>
      <c r="C31" s="6">
        <v>900.69</v>
      </c>
      <c r="D31" s="83">
        <v>2339.2199999999998</v>
      </c>
      <c r="E31" s="35">
        <v>2088.62</v>
      </c>
      <c r="F31" s="19">
        <v>993.53</v>
      </c>
      <c r="G31" s="6">
        <v>931.12</v>
      </c>
      <c r="I31" s="261" t="s">
        <v>442</v>
      </c>
      <c r="J31" s="109"/>
      <c r="K31" s="109"/>
      <c r="L31" s="109"/>
      <c r="N31" s="19"/>
      <c r="O31" s="6"/>
    </row>
    <row r="32" spans="2:25" x14ac:dyDescent="0.3">
      <c r="B32" s="8" t="s">
        <v>142</v>
      </c>
      <c r="C32" s="82">
        <v>13905.64</v>
      </c>
      <c r="D32" s="83">
        <v>12382.87</v>
      </c>
      <c r="E32" s="35">
        <v>15482.11</v>
      </c>
      <c r="F32" s="35">
        <v>10500.75</v>
      </c>
      <c r="G32" s="35">
        <v>6012.98</v>
      </c>
      <c r="I32" s="255" t="s">
        <v>443</v>
      </c>
      <c r="J32" s="256" t="s">
        <v>400</v>
      </c>
      <c r="K32" s="134">
        <f>C43/C50</f>
        <v>2.7434488119302771</v>
      </c>
      <c r="L32" s="134">
        <f t="shared" ref="L32:O32" si="24">D43/D50</f>
        <v>2.4910312235769729</v>
      </c>
      <c r="M32" s="134">
        <f t="shared" si="24"/>
        <v>2.6038625567463844</v>
      </c>
      <c r="N32" s="134">
        <f t="shared" si="24"/>
        <v>2.6862495226005696</v>
      </c>
      <c r="O32" s="134">
        <f t="shared" si="24"/>
        <v>2.7244488099581909</v>
      </c>
    </row>
    <row r="33" spans="2:15" x14ac:dyDescent="0.3">
      <c r="B33" s="8" t="s">
        <v>135</v>
      </c>
      <c r="C33" s="82">
        <v>3662.84</v>
      </c>
      <c r="D33" s="83">
        <v>4022.72</v>
      </c>
      <c r="E33" s="35">
        <v>4717.99</v>
      </c>
      <c r="F33" s="83">
        <v>5189.9799999999996</v>
      </c>
      <c r="G33" s="82">
        <v>4931.49</v>
      </c>
      <c r="I33" s="255" t="s">
        <v>444</v>
      </c>
      <c r="J33" s="256" t="s">
        <v>400</v>
      </c>
      <c r="K33" s="134">
        <f>C77/C50</f>
        <v>1.7434488119302771</v>
      </c>
      <c r="L33" s="134">
        <f t="shared" ref="L33:O33" si="25">D77/D50</f>
        <v>1.4910312235769729</v>
      </c>
      <c r="M33" s="134">
        <f t="shared" si="25"/>
        <v>1.598149307343099</v>
      </c>
      <c r="N33" s="134">
        <f t="shared" si="25"/>
        <v>1.6808751727567721</v>
      </c>
      <c r="O33" s="134">
        <f t="shared" si="25"/>
        <v>1.7189247656799829</v>
      </c>
    </row>
    <row r="34" spans="2:15" x14ac:dyDescent="0.3">
      <c r="B34" s="8" t="s">
        <v>77</v>
      </c>
      <c r="C34" s="82">
        <v>5915.1</v>
      </c>
      <c r="D34" s="82">
        <v>5429.36</v>
      </c>
      <c r="E34" s="35">
        <v>4341.78</v>
      </c>
      <c r="F34" s="35">
        <v>5651.5</v>
      </c>
      <c r="G34" s="29">
        <v>6690.07</v>
      </c>
      <c r="I34" s="255" t="s">
        <v>445</v>
      </c>
      <c r="J34" s="256" t="s">
        <v>400</v>
      </c>
      <c r="K34" s="134">
        <f>(C61/C50)</f>
        <v>1.1777389860553196</v>
      </c>
      <c r="L34" s="134">
        <f t="shared" ref="L34:O34" si="26">(D61/D50)</f>
        <v>0.99277760194107645</v>
      </c>
      <c r="M34" s="134">
        <f t="shared" si="26"/>
        <v>1.0967536582892621</v>
      </c>
      <c r="N34" s="134">
        <f t="shared" si="26"/>
        <v>1.1738079027121784</v>
      </c>
      <c r="O34" s="134">
        <f t="shared" si="26"/>
        <v>1.1735643415599042</v>
      </c>
    </row>
    <row r="35" spans="2:15" x14ac:dyDescent="0.3">
      <c r="B35" s="8" t="s">
        <v>139</v>
      </c>
      <c r="C35" s="82">
        <v>2312.56</v>
      </c>
      <c r="D35" s="82">
        <v>2240.6999999999998</v>
      </c>
      <c r="E35" s="35">
        <v>2617.04</v>
      </c>
      <c r="F35" s="20">
        <v>3072.8</v>
      </c>
      <c r="G35" s="35">
        <v>1223.69</v>
      </c>
      <c r="I35" s="255" t="s">
        <v>446</v>
      </c>
      <c r="J35" s="256" t="s">
        <v>400</v>
      </c>
      <c r="K35" s="134">
        <f>J91/(C104+C105)</f>
        <v>2.8190306317456266</v>
      </c>
      <c r="L35" s="134">
        <f t="shared" ref="L35:O35" si="27">K91/(D104+D105)</f>
        <v>3.4066792294807375</v>
      </c>
      <c r="M35" s="134">
        <f t="shared" si="27"/>
        <v>2.5501023852621127</v>
      </c>
      <c r="N35" s="134">
        <f t="shared" si="27"/>
        <v>1.9384637152196269</v>
      </c>
      <c r="O35" s="134">
        <f t="shared" si="27"/>
        <v>2.1543028664874595</v>
      </c>
    </row>
    <row r="36" spans="2:15" x14ac:dyDescent="0.3">
      <c r="B36" s="8" t="s">
        <v>143</v>
      </c>
      <c r="C36" s="82">
        <v>1400.82</v>
      </c>
      <c r="D36" s="83">
        <v>1011.85</v>
      </c>
      <c r="E36" s="35">
        <v>2348.6</v>
      </c>
      <c r="F36">
        <v>740.3</v>
      </c>
      <c r="G36" s="29">
        <v>684.54</v>
      </c>
      <c r="I36" s="255" t="s">
        <v>447</v>
      </c>
      <c r="J36" s="256" t="s">
        <v>400</v>
      </c>
      <c r="K36" s="134">
        <f>J89/J90</f>
        <v>2.6207969106544371</v>
      </c>
      <c r="L36" s="134">
        <f t="shared" ref="L36:O36" si="28">K89/K90</f>
        <v>2.5439358467736795</v>
      </c>
      <c r="M36" s="134">
        <f t="shared" si="28"/>
        <v>2.6425927547677115</v>
      </c>
      <c r="N36" s="134">
        <f t="shared" si="28"/>
        <v>2.7050868239263748</v>
      </c>
      <c r="O36" s="134">
        <f t="shared" si="28"/>
        <v>2.7244488099581909</v>
      </c>
    </row>
    <row r="37" spans="2:15" x14ac:dyDescent="0.3">
      <c r="B37" s="8" t="s">
        <v>78</v>
      </c>
      <c r="C37" s="82">
        <v>22342.080000000002</v>
      </c>
      <c r="D37" s="83">
        <v>14247.01</v>
      </c>
      <c r="E37" s="35">
        <v>14682.07</v>
      </c>
      <c r="F37" s="83">
        <v>14175</v>
      </c>
      <c r="G37" s="82">
        <v>17192.240000000002</v>
      </c>
      <c r="I37" s="8"/>
      <c r="J37" s="19"/>
      <c r="K37" s="19"/>
      <c r="L37" s="19"/>
      <c r="N37" s="19"/>
      <c r="O37" s="6"/>
    </row>
    <row r="38" spans="2:15" x14ac:dyDescent="0.3">
      <c r="B38" s="8" t="s">
        <v>79</v>
      </c>
      <c r="C38" s="82">
        <v>2348.92</v>
      </c>
      <c r="D38" s="83">
        <v>2773.76</v>
      </c>
      <c r="E38" s="35">
        <v>2579.23</v>
      </c>
      <c r="F38" s="35">
        <v>1697.98</v>
      </c>
      <c r="G38" s="35">
        <v>1607.19</v>
      </c>
      <c r="I38" s="261" t="s">
        <v>448</v>
      </c>
      <c r="J38" s="109"/>
      <c r="K38" s="109"/>
      <c r="L38" s="109"/>
      <c r="N38" s="19"/>
      <c r="O38" s="6"/>
    </row>
    <row r="39" spans="2:15" x14ac:dyDescent="0.3">
      <c r="B39" s="8" t="s">
        <v>15</v>
      </c>
      <c r="C39" s="82">
        <v>3.27</v>
      </c>
      <c r="D39" s="83">
        <v>0.11</v>
      </c>
      <c r="E39">
        <v>0.12</v>
      </c>
      <c r="F39">
        <v>0.38</v>
      </c>
      <c r="G39">
        <v>38.71</v>
      </c>
      <c r="I39" s="255" t="s">
        <v>449</v>
      </c>
      <c r="J39" s="256" t="s">
        <v>400</v>
      </c>
      <c r="K39" s="134"/>
      <c r="L39" s="134"/>
      <c r="M39" s="55"/>
      <c r="N39" s="134"/>
      <c r="O39" s="152"/>
    </row>
    <row r="40" spans="2:15" x14ac:dyDescent="0.3">
      <c r="B40" s="8" t="s">
        <v>17</v>
      </c>
      <c r="C40" s="82">
        <v>3553.27</v>
      </c>
      <c r="D40" s="83">
        <v>2774.14</v>
      </c>
      <c r="E40" s="35">
        <v>2404.0300000000002</v>
      </c>
      <c r="F40" s="35">
        <v>2440.34</v>
      </c>
      <c r="G40" s="35">
        <v>2414.6799999999998</v>
      </c>
      <c r="I40" s="255" t="s">
        <v>450</v>
      </c>
      <c r="J40" s="256" t="s">
        <v>400</v>
      </c>
      <c r="K40" s="134">
        <f>'Balance Sheet'!C84/('Ratio Analysis'!C92/J105)</f>
        <v>0.91387942300361447</v>
      </c>
      <c r="L40" s="134">
        <f>'Balance Sheet'!D84/('Ratio Analysis'!D92/K105)</f>
        <v>1.1447906623464112</v>
      </c>
      <c r="M40" s="134">
        <f>'Balance Sheet'!E84/('Ratio Analysis'!E92/L105)</f>
        <v>1.2500909646493794</v>
      </c>
      <c r="N40" s="134">
        <f>'Balance Sheet'!F84/('Ratio Analysis'!F92/M105)</f>
        <v>0.40381814645005287</v>
      </c>
      <c r="O40" s="134">
        <f>'Balance Sheet'!G84/('Ratio Analysis'!G92/N105)</f>
        <v>0.70799091971852424</v>
      </c>
    </row>
    <row r="41" spans="2:15" x14ac:dyDescent="0.3">
      <c r="B41" s="22" t="s">
        <v>35</v>
      </c>
      <c r="C41" s="91">
        <v>67504.34</v>
      </c>
      <c r="D41" s="95">
        <v>56758.16</v>
      </c>
      <c r="E41" s="91">
        <v>57458.55</v>
      </c>
      <c r="F41" s="119"/>
      <c r="G41" s="95"/>
      <c r="I41" s="255" t="s">
        <v>451</v>
      </c>
      <c r="J41" s="256" t="s">
        <v>400</v>
      </c>
      <c r="K41" s="134">
        <f>'Balance Sheet'!C84/('Ratio Analysis'!J105/'Ratio Analysis'!C92)</f>
        <v>2916915.7581409477</v>
      </c>
      <c r="L41" s="134">
        <f>'Balance Sheet'!D84/('Ratio Analysis'!K105/'Ratio Analysis'!D92)</f>
        <v>2418691.9854191984</v>
      </c>
      <c r="M41" s="134">
        <f>'Balance Sheet'!E84/('Ratio Analysis'!L105/'Ratio Analysis'!E92)</f>
        <v>1683153.7560069864</v>
      </c>
      <c r="N41" s="134">
        <f>'Balance Sheet'!F84/('Ratio Analysis'!M105/'Ratio Analysis'!F92)</f>
        <v>561320.01989671937</v>
      </c>
      <c r="O41" s="134">
        <f>'Balance Sheet'!G84/('Ratio Analysis'!N105/'Ratio Analysis'!G92)</f>
        <v>973386.8095003037</v>
      </c>
    </row>
    <row r="42" spans="2:15" x14ac:dyDescent="0.3">
      <c r="B42" t="s">
        <v>144</v>
      </c>
      <c r="C42" s="88">
        <v>18.02</v>
      </c>
      <c r="D42" s="88">
        <v>9.5299999999999994</v>
      </c>
      <c r="E42" s="35">
        <v>2318.81</v>
      </c>
      <c r="F42" s="119">
        <v>1077.21</v>
      </c>
      <c r="G42" s="35">
        <v>1094.73</v>
      </c>
      <c r="I42" s="278" t="s">
        <v>452</v>
      </c>
      <c r="J42" s="279" t="s">
        <v>347</v>
      </c>
      <c r="K42" s="163"/>
      <c r="L42" s="163"/>
      <c r="M42" s="280"/>
      <c r="N42" s="163"/>
      <c r="O42" s="281"/>
    </row>
    <row r="43" spans="2:15" ht="15" thickBot="1" x14ac:dyDescent="0.35">
      <c r="B43" s="11" t="s">
        <v>18</v>
      </c>
      <c r="C43" s="96">
        <v>337205.03</v>
      </c>
      <c r="D43" s="97">
        <v>289394.83</v>
      </c>
      <c r="E43" s="118">
        <v>267056.31</v>
      </c>
      <c r="F43" s="118">
        <v>244415.8</v>
      </c>
      <c r="G43" s="100">
        <v>241173.93</v>
      </c>
    </row>
    <row r="44" spans="2:15" ht="15" thickTop="1" x14ac:dyDescent="0.3">
      <c r="B44" s="5" t="s">
        <v>8</v>
      </c>
      <c r="C44" s="12"/>
      <c r="D44" s="20"/>
      <c r="F44" s="19"/>
      <c r="G44" s="6"/>
    </row>
    <row r="45" spans="2:15" x14ac:dyDescent="0.3">
      <c r="B45" s="7" t="s">
        <v>9</v>
      </c>
      <c r="C45" s="12"/>
      <c r="D45" s="20"/>
      <c r="F45" s="19"/>
      <c r="G45" s="6"/>
    </row>
    <row r="46" spans="2:15" x14ac:dyDescent="0.3">
      <c r="B46" s="8" t="s">
        <v>19</v>
      </c>
      <c r="C46" s="6">
        <v>131.69</v>
      </c>
      <c r="D46" s="19">
        <v>131.66999999999999</v>
      </c>
      <c r="E46">
        <v>131.62</v>
      </c>
      <c r="F46">
        <v>131.57</v>
      </c>
      <c r="G46">
        <v>131.53</v>
      </c>
    </row>
    <row r="47" spans="2:15" x14ac:dyDescent="0.3">
      <c r="B47" s="8" t="s">
        <v>20</v>
      </c>
      <c r="C47" s="82">
        <v>78610.3</v>
      </c>
      <c r="D47" s="83">
        <v>75566.559999999998</v>
      </c>
      <c r="E47" s="35">
        <v>65362.44</v>
      </c>
      <c r="F47" s="35">
        <v>56520.76</v>
      </c>
      <c r="G47" s="35">
        <v>57887.99</v>
      </c>
    </row>
    <row r="48" spans="2:15" x14ac:dyDescent="0.3">
      <c r="B48" s="12" t="s">
        <v>145</v>
      </c>
      <c r="C48" s="99">
        <v>78741.990000000005</v>
      </c>
      <c r="D48" s="43">
        <v>75698.23</v>
      </c>
      <c r="E48" s="35">
        <v>65494.06</v>
      </c>
      <c r="F48" s="35">
        <v>56652.33</v>
      </c>
      <c r="G48" s="35">
        <v>58019.519999999997</v>
      </c>
    </row>
    <row r="49" spans="2:7" x14ac:dyDescent="0.3">
      <c r="B49" s="8" t="s">
        <v>146</v>
      </c>
      <c r="C49" s="89">
        <v>44170.83</v>
      </c>
      <c r="D49" s="86">
        <v>40476.480000000003</v>
      </c>
      <c r="E49" s="35">
        <v>37067.54</v>
      </c>
      <c r="F49" s="35">
        <v>34335.42</v>
      </c>
      <c r="G49" s="35">
        <v>30502.58</v>
      </c>
    </row>
    <row r="50" spans="2:7" x14ac:dyDescent="0.3">
      <c r="B50" s="22" t="s">
        <v>21</v>
      </c>
      <c r="C50" s="93">
        <v>122912.82</v>
      </c>
      <c r="D50" s="93">
        <v>116174.71</v>
      </c>
      <c r="E50" s="115">
        <v>102561.60000000001</v>
      </c>
      <c r="F50" s="35">
        <v>90987.75</v>
      </c>
      <c r="G50" s="35">
        <v>88522.1</v>
      </c>
    </row>
    <row r="51" spans="2:7" x14ac:dyDescent="0.3">
      <c r="B51" s="7" t="s">
        <v>10</v>
      </c>
      <c r="C51" s="12"/>
      <c r="D51" s="20"/>
      <c r="F51" s="27"/>
      <c r="G51" s="6"/>
    </row>
    <row r="52" spans="2:7" ht="13.8" customHeight="1" x14ac:dyDescent="0.3">
      <c r="B52" s="12" t="s">
        <v>11</v>
      </c>
      <c r="C52" s="12"/>
      <c r="D52" s="20"/>
      <c r="F52" s="19"/>
      <c r="G52" s="6"/>
    </row>
    <row r="53" spans="2:7" x14ac:dyDescent="0.3">
      <c r="B53" s="8" t="s">
        <v>22</v>
      </c>
      <c r="C53" s="8"/>
      <c r="D53" s="20"/>
      <c r="F53" s="19"/>
      <c r="G53" s="6"/>
    </row>
    <row r="54" spans="2:7" x14ac:dyDescent="0.3">
      <c r="B54" s="8" t="s">
        <v>148</v>
      </c>
      <c r="C54" s="82">
        <v>66712.460000000006</v>
      </c>
      <c r="D54" s="83">
        <v>46545.96</v>
      </c>
      <c r="E54" s="35">
        <v>52488.25</v>
      </c>
      <c r="F54" s="35">
        <v>58745.91</v>
      </c>
      <c r="G54" s="35">
        <v>56686.1</v>
      </c>
    </row>
    <row r="55" spans="2:7" x14ac:dyDescent="0.3">
      <c r="B55" s="8" t="s">
        <v>147</v>
      </c>
      <c r="C55" s="82">
        <v>1410.73</v>
      </c>
      <c r="D55" s="83">
        <v>1319.38</v>
      </c>
      <c r="E55" s="114">
        <v>1447.48</v>
      </c>
      <c r="F55" s="35">
        <v>1366.14</v>
      </c>
      <c r="G55" s="29"/>
    </row>
    <row r="56" spans="2:7" x14ac:dyDescent="0.3">
      <c r="B56" s="19" t="s">
        <v>150</v>
      </c>
      <c r="C56" s="82">
        <v>67012.03</v>
      </c>
      <c r="D56" s="83">
        <v>57705.64</v>
      </c>
      <c r="E56" s="35">
        <v>48991.25</v>
      </c>
      <c r="F56" s="35">
        <v>38915.800000000003</v>
      </c>
      <c r="G56" s="35">
        <v>37669.480000000003</v>
      </c>
    </row>
    <row r="57" spans="2:7" x14ac:dyDescent="0.3">
      <c r="B57" s="8" t="s">
        <v>149</v>
      </c>
      <c r="C57" s="6">
        <v>398.57</v>
      </c>
      <c r="D57" s="19">
        <v>428.74</v>
      </c>
      <c r="E57">
        <v>544.41</v>
      </c>
      <c r="F57" s="19">
        <v>335.15</v>
      </c>
      <c r="G57">
        <v>348.74</v>
      </c>
    </row>
    <row r="58" spans="2:7" x14ac:dyDescent="0.3">
      <c r="B58" s="8" t="s">
        <v>23</v>
      </c>
      <c r="C58" s="6">
        <v>765.81</v>
      </c>
      <c r="D58" s="19">
        <v>732.94</v>
      </c>
      <c r="E58">
        <v>424.58</v>
      </c>
      <c r="F58">
        <v>314.99</v>
      </c>
      <c r="G58">
        <v>252.25</v>
      </c>
    </row>
    <row r="59" spans="2:7" x14ac:dyDescent="0.3">
      <c r="B59" s="8" t="s">
        <v>24</v>
      </c>
      <c r="C59" s="82">
        <v>8443.3799999999992</v>
      </c>
      <c r="D59" s="83">
        <v>8526.67</v>
      </c>
      <c r="E59" s="35">
        <v>8456.65</v>
      </c>
      <c r="F59" s="35">
        <v>6997.06</v>
      </c>
      <c r="G59" s="35">
        <v>8842.7800000000007</v>
      </c>
    </row>
    <row r="60" spans="2:7" x14ac:dyDescent="0.3">
      <c r="B60" s="8" t="s">
        <v>25</v>
      </c>
      <c r="C60" s="17">
        <v>16.239999999999998</v>
      </c>
      <c r="D60" s="4">
        <v>76.319999999999993</v>
      </c>
      <c r="E60">
        <v>132.19</v>
      </c>
      <c r="F60">
        <v>127.09</v>
      </c>
      <c r="G60">
        <v>87.03</v>
      </c>
    </row>
    <row r="61" spans="2:7" x14ac:dyDescent="0.3">
      <c r="B61" s="22" t="s">
        <v>36</v>
      </c>
      <c r="C61" s="23">
        <v>144759.22</v>
      </c>
      <c r="D61" s="23">
        <v>115335.65</v>
      </c>
      <c r="E61" s="93">
        <v>112484.81</v>
      </c>
      <c r="F61" s="23">
        <f>SUM(F54:F60)</f>
        <v>106802.14</v>
      </c>
      <c r="G61" s="26">
        <f>SUM(G54:G60)</f>
        <v>103886.38</v>
      </c>
    </row>
    <row r="62" spans="2:7" x14ac:dyDescent="0.3">
      <c r="B62" s="12" t="s">
        <v>26</v>
      </c>
      <c r="C62" s="12"/>
      <c r="D62" s="20"/>
      <c r="F62" s="19"/>
      <c r="G62" s="6"/>
    </row>
    <row r="63" spans="2:7" x14ac:dyDescent="0.3">
      <c r="B63" s="8" t="s">
        <v>22</v>
      </c>
      <c r="C63" s="8"/>
      <c r="D63" s="20"/>
      <c r="F63" s="19"/>
      <c r="G63" s="6"/>
    </row>
    <row r="64" spans="2:7" x14ac:dyDescent="0.3">
      <c r="B64" s="8" t="s">
        <v>148</v>
      </c>
      <c r="C64" s="83">
        <v>34635.46</v>
      </c>
      <c r="D64" s="83">
        <v>26457.29</v>
      </c>
      <c r="E64" s="35">
        <v>10037.040000000001</v>
      </c>
      <c r="F64" s="35">
        <v>11988.13</v>
      </c>
      <c r="G64" s="35">
        <v>18378.52</v>
      </c>
    </row>
    <row r="65" spans="2:7" x14ac:dyDescent="0.3">
      <c r="B65" s="8" t="s">
        <v>147</v>
      </c>
      <c r="C65" s="6">
        <v>279.91000000000003</v>
      </c>
      <c r="D65" s="19">
        <v>238.16</v>
      </c>
      <c r="E65">
        <v>221.13</v>
      </c>
      <c r="F65">
        <v>195.7</v>
      </c>
      <c r="G65" s="6"/>
    </row>
    <row r="66" spans="2:7" x14ac:dyDescent="0.3">
      <c r="B66" s="8" t="s">
        <v>151</v>
      </c>
      <c r="C66" s="19"/>
      <c r="D66" s="83">
        <v>183.4</v>
      </c>
      <c r="F66" s="19"/>
      <c r="G66" s="6"/>
    </row>
    <row r="67" spans="2:7" x14ac:dyDescent="0.3">
      <c r="B67" s="8" t="s">
        <v>150</v>
      </c>
      <c r="C67" s="82">
        <v>2077.9</v>
      </c>
      <c r="D67" s="83">
        <v>3167.74</v>
      </c>
      <c r="E67" s="35">
        <v>3485.22</v>
      </c>
      <c r="F67" s="35">
        <v>2348.7399999999998</v>
      </c>
      <c r="G67" s="35">
        <v>2480.54</v>
      </c>
    </row>
    <row r="68" spans="2:7" x14ac:dyDescent="0.3">
      <c r="B68" s="8" t="s">
        <v>152</v>
      </c>
      <c r="C68" s="6"/>
      <c r="D68" s="20"/>
      <c r="F68" s="19"/>
      <c r="G68" s="6"/>
    </row>
    <row r="69" spans="2:7" x14ac:dyDescent="0.3">
      <c r="B69" s="13" t="s">
        <v>31</v>
      </c>
      <c r="C69" s="6">
        <v>351.52</v>
      </c>
      <c r="D69" s="19">
        <v>244.28</v>
      </c>
      <c r="E69">
        <v>150.94</v>
      </c>
      <c r="F69">
        <v>83.15</v>
      </c>
      <c r="G69">
        <v>36.36</v>
      </c>
    </row>
    <row r="70" spans="2:7" ht="28.8" x14ac:dyDescent="0.3">
      <c r="B70" s="14" t="s">
        <v>32</v>
      </c>
      <c r="C70" s="82">
        <v>13001.75</v>
      </c>
      <c r="D70" s="83">
        <v>11149.16</v>
      </c>
      <c r="E70" s="35">
        <v>7971.62</v>
      </c>
      <c r="F70" s="35">
        <v>6605.44</v>
      </c>
      <c r="G70" s="35">
        <v>6047.34</v>
      </c>
    </row>
    <row r="71" spans="2:7" x14ac:dyDescent="0.3">
      <c r="B71" s="8" t="s">
        <v>149</v>
      </c>
      <c r="C71" s="82">
        <v>9859.01</v>
      </c>
      <c r="D71" s="83">
        <v>8166.09</v>
      </c>
      <c r="E71" s="35">
        <v>21647.19</v>
      </c>
      <c r="F71" s="35">
        <v>17920.54</v>
      </c>
      <c r="G71" s="35">
        <v>14419.25</v>
      </c>
    </row>
    <row r="72" spans="2:7" x14ac:dyDescent="0.3">
      <c r="B72" s="8" t="s">
        <v>153</v>
      </c>
      <c r="C72" s="82">
        <v>6438.15</v>
      </c>
      <c r="D72" s="83">
        <v>6445.02</v>
      </c>
      <c r="E72" s="35">
        <v>5587.44</v>
      </c>
      <c r="F72" s="35">
        <v>4561.0600000000004</v>
      </c>
      <c r="G72" s="35">
        <v>4779.3100000000004</v>
      </c>
    </row>
    <row r="73" spans="2:7" x14ac:dyDescent="0.3">
      <c r="B73" s="8" t="s">
        <v>23</v>
      </c>
      <c r="C73" s="6">
        <v>722.47</v>
      </c>
      <c r="D73" s="19">
        <v>815.74</v>
      </c>
      <c r="E73" s="35">
        <v>1080.1500000000001</v>
      </c>
      <c r="F73" s="35">
        <v>1311.82</v>
      </c>
      <c r="G73" s="35">
        <v>1230.93</v>
      </c>
    </row>
    <row r="74" spans="2:7" x14ac:dyDescent="0.3">
      <c r="B74" s="8" t="s">
        <v>28</v>
      </c>
      <c r="C74" s="89">
        <v>2166.8200000000002</v>
      </c>
      <c r="D74" s="86">
        <v>1017.59</v>
      </c>
      <c r="E74" s="35">
        <v>1243.21</v>
      </c>
      <c r="F74" s="35">
        <v>1122.33</v>
      </c>
      <c r="G74">
        <v>904.2</v>
      </c>
    </row>
    <row r="75" spans="2:7" x14ac:dyDescent="0.3">
      <c r="B75" s="22" t="s">
        <v>37</v>
      </c>
      <c r="C75" s="35">
        <v>69532.990000000005</v>
      </c>
      <c r="D75" s="35">
        <v>57884.47</v>
      </c>
      <c r="E75" s="35">
        <v>51423.94</v>
      </c>
      <c r="F75" s="143">
        <f>SUM(F64:F74)</f>
        <v>46136.909999999996</v>
      </c>
      <c r="G75" s="80">
        <f>SUM(G64:G74)</f>
        <v>48276.45</v>
      </c>
    </row>
    <row r="76" spans="2:7" x14ac:dyDescent="0.3">
      <c r="B76" t="s">
        <v>278</v>
      </c>
      <c r="C76" s="35"/>
      <c r="D76" s="35"/>
      <c r="E76">
        <v>585.96</v>
      </c>
      <c r="F76">
        <v>489</v>
      </c>
      <c r="G76">
        <v>489</v>
      </c>
    </row>
    <row r="77" spans="2:7" x14ac:dyDescent="0.3">
      <c r="B77" s="12" t="s">
        <v>30</v>
      </c>
      <c r="C77" s="26">
        <f>C61+C75</f>
        <v>214292.21000000002</v>
      </c>
      <c r="D77" s="26">
        <f t="shared" ref="D77:G77" si="29">D61+D75</f>
        <v>173220.12</v>
      </c>
      <c r="E77" s="26">
        <f t="shared" si="29"/>
        <v>163908.75</v>
      </c>
      <c r="F77" s="26">
        <f t="shared" si="29"/>
        <v>152939.04999999999</v>
      </c>
      <c r="G77" s="26">
        <f t="shared" si="29"/>
        <v>152162.83000000002</v>
      </c>
    </row>
    <row r="78" spans="2:7" ht="15" thickBot="1" x14ac:dyDescent="0.35">
      <c r="B78" s="11" t="s">
        <v>29</v>
      </c>
      <c r="C78" s="100">
        <v>337205.03</v>
      </c>
      <c r="D78" s="100">
        <v>289394.83</v>
      </c>
      <c r="E78" s="100">
        <v>267056.31</v>
      </c>
      <c r="F78" s="100">
        <v>244415.8</v>
      </c>
      <c r="G78" s="100">
        <v>241173.93</v>
      </c>
    </row>
    <row r="79" spans="2:7" ht="15" thickTop="1" x14ac:dyDescent="0.3">
      <c r="B79" s="8"/>
      <c r="C79" s="8"/>
      <c r="D79" s="20"/>
      <c r="F79" s="19"/>
      <c r="G79" s="6"/>
    </row>
    <row r="80" spans="2:7" x14ac:dyDescent="0.3">
      <c r="B80" s="15"/>
      <c r="C80" s="15"/>
      <c r="D80" s="28"/>
      <c r="E80" s="16"/>
      <c r="F80" s="4"/>
      <c r="G80" s="17"/>
    </row>
    <row r="83" spans="2:14" ht="15" thickBot="1" x14ac:dyDescent="0.35">
      <c r="B83" t="s">
        <v>294</v>
      </c>
      <c r="C83" s="146">
        <v>65.84</v>
      </c>
      <c r="D83" s="146">
        <v>65.84</v>
      </c>
      <c r="E83" s="146">
        <v>65.84</v>
      </c>
      <c r="F83" s="146">
        <v>65.84</v>
      </c>
      <c r="G83" s="146">
        <v>65.84</v>
      </c>
    </row>
    <row r="84" spans="2:14" x14ac:dyDescent="0.3">
      <c r="B84" t="s">
        <v>38</v>
      </c>
      <c r="C84" s="144">
        <v>1632.7</v>
      </c>
      <c r="D84" s="145">
        <v>1664</v>
      </c>
      <c r="E84" s="145">
        <v>1450.55</v>
      </c>
      <c r="F84" s="147">
        <v>476.1</v>
      </c>
      <c r="G84" s="147">
        <v>830.15</v>
      </c>
    </row>
    <row r="85" spans="2:14" s="72" customFormat="1" x14ac:dyDescent="0.3">
      <c r="B85" s="73" t="s">
        <v>84</v>
      </c>
      <c r="C85" s="74">
        <f>C50/C83</f>
        <v>1866.8411300121506</v>
      </c>
      <c r="D85" s="74">
        <f t="shared" ref="D85:G85" si="30">D50/D83</f>
        <v>1764.5004556500608</v>
      </c>
      <c r="E85" s="74">
        <f t="shared" si="30"/>
        <v>1557.7399756986633</v>
      </c>
      <c r="F85" s="74">
        <f t="shared" si="30"/>
        <v>1381.9524605103279</v>
      </c>
      <c r="G85" s="74">
        <f t="shared" si="30"/>
        <v>1344.5033414337788</v>
      </c>
    </row>
    <row r="86" spans="2:14" x14ac:dyDescent="0.3">
      <c r="B86" t="s">
        <v>85</v>
      </c>
      <c r="H86" t="s">
        <v>86</v>
      </c>
      <c r="J86" t="s">
        <v>127</v>
      </c>
    </row>
    <row r="88" spans="2:14" x14ac:dyDescent="0.3">
      <c r="C88" s="55"/>
      <c r="D88" s="55"/>
      <c r="E88" s="55"/>
      <c r="F88" s="55"/>
      <c r="G88" s="55"/>
    </row>
    <row r="89" spans="2:14" ht="15.6" x14ac:dyDescent="0.3">
      <c r="B89" s="295" t="s">
        <v>156</v>
      </c>
      <c r="C89" s="296"/>
      <c r="D89" s="296"/>
      <c r="E89" s="296"/>
      <c r="F89" s="296"/>
      <c r="G89" s="297"/>
      <c r="I89" s="31" t="s">
        <v>453</v>
      </c>
      <c r="J89">
        <f>(C43+D43)/2</f>
        <v>313299.93000000005</v>
      </c>
      <c r="K89">
        <f t="shared" ref="K89:N89" si="31">(D43+E43)/2</f>
        <v>278225.57</v>
      </c>
      <c r="L89">
        <f t="shared" si="31"/>
        <v>255736.05499999999</v>
      </c>
      <c r="M89">
        <f t="shared" si="31"/>
        <v>242794.86499999999</v>
      </c>
      <c r="N89">
        <f t="shared" si="31"/>
        <v>120586.965</v>
      </c>
    </row>
    <row r="90" spans="2:14" ht="15.6" x14ac:dyDescent="0.3">
      <c r="B90" s="298" t="s">
        <v>157</v>
      </c>
      <c r="C90" s="299"/>
      <c r="D90" s="299"/>
      <c r="E90" s="299"/>
      <c r="F90" s="299"/>
      <c r="G90" s="300"/>
      <c r="I90" s="31" t="s">
        <v>454</v>
      </c>
      <c r="J90">
        <f>(C50+D50)/2</f>
        <v>119543.76500000001</v>
      </c>
      <c r="K90">
        <f t="shared" ref="K90:N90" si="32">(D50+E50)/2</f>
        <v>109368.155</v>
      </c>
      <c r="L90">
        <f t="shared" si="32"/>
        <v>96774.675000000003</v>
      </c>
      <c r="M90">
        <f t="shared" si="32"/>
        <v>89754.925000000003</v>
      </c>
      <c r="N90">
        <f t="shared" si="32"/>
        <v>44261.05</v>
      </c>
    </row>
    <row r="91" spans="2:14" ht="28.8" x14ac:dyDescent="0.3">
      <c r="B91" s="36" t="s">
        <v>0</v>
      </c>
      <c r="C91" s="1" t="s">
        <v>60</v>
      </c>
      <c r="D91" s="30" t="s">
        <v>61</v>
      </c>
      <c r="E91" s="1" t="s">
        <v>57</v>
      </c>
      <c r="F91" s="18" t="s">
        <v>62</v>
      </c>
      <c r="G91" s="1" t="s">
        <v>63</v>
      </c>
      <c r="I91" s="282" t="s">
        <v>455</v>
      </c>
      <c r="J91" s="35">
        <f>C92-C108+(C104+C105)</f>
        <v>17037.459999999995</v>
      </c>
      <c r="K91" s="35">
        <f t="shared" ref="K91:N91" si="33">D92-D108+(D104+D105)</f>
        <v>16270.300000000003</v>
      </c>
      <c r="L91" s="35">
        <f t="shared" si="33"/>
        <v>14595.459999999995</v>
      </c>
      <c r="M91" s="35">
        <f t="shared" si="33"/>
        <v>13426.420000000006</v>
      </c>
      <c r="N91" s="35">
        <f t="shared" si="33"/>
        <v>13055.14</v>
      </c>
    </row>
    <row r="92" spans="2:14" ht="28.8" x14ac:dyDescent="0.3">
      <c r="B92" s="40" t="s">
        <v>39</v>
      </c>
      <c r="C92" s="102">
        <v>117627.08</v>
      </c>
      <c r="D92" s="35">
        <v>95701.13</v>
      </c>
      <c r="E92" s="90">
        <v>76397.81</v>
      </c>
      <c r="F92" s="35">
        <v>77625.100000000006</v>
      </c>
      <c r="G92" s="90">
        <v>77200.25</v>
      </c>
      <c r="I92" s="13" t="s">
        <v>456</v>
      </c>
    </row>
    <row r="93" spans="2:14" x14ac:dyDescent="0.3">
      <c r="B93" s="19" t="s">
        <v>40</v>
      </c>
      <c r="C93" s="86">
        <v>3612.05</v>
      </c>
      <c r="D93">
        <v>821.34</v>
      </c>
      <c r="E93" s="82">
        <v>1051.96</v>
      </c>
      <c r="F93">
        <v>966.61</v>
      </c>
      <c r="G93" s="83">
        <v>827.69</v>
      </c>
      <c r="I93" s="12" t="s">
        <v>457</v>
      </c>
      <c r="J93" s="35">
        <f>J91+C106</f>
        <v>21589.049999999996</v>
      </c>
      <c r="K93" s="35">
        <f t="shared" ref="K93:N93" si="34">K91+D106</f>
        <v>20431.370000000003</v>
      </c>
      <c r="L93" s="35">
        <f t="shared" si="34"/>
        <v>18628.859999999997</v>
      </c>
      <c r="M93" s="35">
        <f t="shared" si="34"/>
        <v>17467.240000000005</v>
      </c>
      <c r="N93" s="35">
        <f t="shared" si="34"/>
        <v>16626.52</v>
      </c>
    </row>
    <row r="94" spans="2:14" x14ac:dyDescent="0.3">
      <c r="B94" s="44" t="s">
        <v>166</v>
      </c>
      <c r="C94" s="101">
        <v>121239.13</v>
      </c>
      <c r="D94" s="103">
        <v>96522.47</v>
      </c>
      <c r="E94" s="101">
        <v>77449.77</v>
      </c>
      <c r="F94" s="104">
        <v>78591.710000000006</v>
      </c>
      <c r="G94" s="101">
        <v>78027.94</v>
      </c>
      <c r="I94" s="282" t="s">
        <v>458</v>
      </c>
      <c r="J94" s="35">
        <f>C43-C75</f>
        <v>267672.04000000004</v>
      </c>
      <c r="K94" s="35">
        <f t="shared" ref="K94:M94" si="35">D43-D75</f>
        <v>231510.36000000002</v>
      </c>
      <c r="L94" s="35">
        <f t="shared" si="35"/>
        <v>215632.37</v>
      </c>
      <c r="M94" s="35">
        <f t="shared" si="35"/>
        <v>198278.88999999998</v>
      </c>
      <c r="N94" s="35">
        <f>G43-G75</f>
        <v>192897.47999999998</v>
      </c>
    </row>
    <row r="95" spans="2:14" x14ac:dyDescent="0.3">
      <c r="B95" s="38" t="s">
        <v>41</v>
      </c>
      <c r="C95" s="38"/>
      <c r="D95" s="57"/>
      <c r="E95" s="20"/>
      <c r="F95" s="9"/>
      <c r="G95" s="20"/>
      <c r="I95" s="282" t="s">
        <v>459</v>
      </c>
      <c r="J95">
        <f>(J94+K94)/2</f>
        <v>249591.2</v>
      </c>
      <c r="K95">
        <f t="shared" ref="K95:N95" si="36">(K94+L94)/2</f>
        <v>223571.36499999999</v>
      </c>
      <c r="L95">
        <f t="shared" si="36"/>
        <v>206955.63</v>
      </c>
      <c r="M95">
        <f t="shared" si="36"/>
        <v>195588.185</v>
      </c>
      <c r="N95">
        <f t="shared" si="36"/>
        <v>96448.739999999991</v>
      </c>
    </row>
    <row r="96" spans="2:14" x14ac:dyDescent="0.3">
      <c r="B96" s="109" t="s">
        <v>43</v>
      </c>
      <c r="C96" s="87">
        <v>21622.26</v>
      </c>
      <c r="D96" s="83">
        <v>16889.599999999999</v>
      </c>
      <c r="E96" s="83">
        <v>11006.75</v>
      </c>
      <c r="F96" s="83">
        <v>14618.05</v>
      </c>
      <c r="G96" s="82">
        <v>15261.12</v>
      </c>
      <c r="I96" s="282" t="s">
        <v>460</v>
      </c>
      <c r="J96">
        <f>(C26+D26)/2</f>
        <v>251154.905</v>
      </c>
      <c r="K96">
        <f t="shared" ref="K96:N96" si="37">(D26+E26)/2</f>
        <v>219953.04500000001</v>
      </c>
      <c r="L96">
        <f t="shared" si="37"/>
        <v>199674.70500000002</v>
      </c>
      <c r="M96">
        <f t="shared" si="37"/>
        <v>191681.90999999997</v>
      </c>
      <c r="N96">
        <f t="shared" si="37"/>
        <v>95646.68</v>
      </c>
    </row>
    <row r="97" spans="2:15" x14ac:dyDescent="0.3">
      <c r="B97" s="109" t="s">
        <v>44</v>
      </c>
      <c r="C97" s="87">
        <v>1824.35</v>
      </c>
      <c r="D97" s="83">
        <v>1404.56</v>
      </c>
      <c r="E97" s="19">
        <v>898.44</v>
      </c>
      <c r="F97" s="83">
        <v>1469.86</v>
      </c>
      <c r="G97" s="82">
        <v>1507.01</v>
      </c>
      <c r="I97" s="282" t="s">
        <v>461</v>
      </c>
      <c r="J97">
        <f>(C41+D41)/2</f>
        <v>62131.25</v>
      </c>
      <c r="K97">
        <f t="shared" ref="K97:N97" si="38">(D41+E41)/2</f>
        <v>57108.355000000003</v>
      </c>
      <c r="L97">
        <f t="shared" si="38"/>
        <v>28729.275000000001</v>
      </c>
      <c r="M97">
        <f t="shared" si="38"/>
        <v>0</v>
      </c>
      <c r="N97">
        <f t="shared" si="38"/>
        <v>0</v>
      </c>
    </row>
    <row r="98" spans="2:15" ht="28.8" x14ac:dyDescent="0.3">
      <c r="B98" s="112" t="s">
        <v>45</v>
      </c>
      <c r="C98" s="8">
        <v>834.66</v>
      </c>
      <c r="D98" s="19">
        <v>921.74</v>
      </c>
      <c r="E98" s="19">
        <v>724.03</v>
      </c>
      <c r="F98" s="19">
        <v>525.9</v>
      </c>
      <c r="G98" s="6">
        <v>79.89</v>
      </c>
      <c r="I98" s="282" t="s">
        <v>462</v>
      </c>
      <c r="J98">
        <f>(C28+D28)/2</f>
        <v>10347.785</v>
      </c>
      <c r="K98">
        <f t="shared" ref="K98:N98" si="39">(D28+E28)/2</f>
        <v>7866.6900000000005</v>
      </c>
      <c r="L98">
        <f t="shared" si="39"/>
        <v>6501.2649999999994</v>
      </c>
      <c r="M98">
        <f t="shared" si="39"/>
        <v>6932.35</v>
      </c>
      <c r="N98">
        <f t="shared" si="39"/>
        <v>3529.5650000000001</v>
      </c>
    </row>
    <row r="99" spans="2:15" x14ac:dyDescent="0.3">
      <c r="B99" s="19" t="s">
        <v>46</v>
      </c>
      <c r="C99" s="87">
        <v>7193.86</v>
      </c>
      <c r="D99" s="83">
        <v>6327.71</v>
      </c>
      <c r="E99" s="83">
        <v>5534.74</v>
      </c>
      <c r="F99" s="83">
        <v>5864.53</v>
      </c>
      <c r="G99" s="82">
        <v>5428.21</v>
      </c>
      <c r="I99" s="282" t="s">
        <v>463</v>
      </c>
    </row>
    <row r="100" spans="2:15" x14ac:dyDescent="0.3">
      <c r="B100" s="19" t="s">
        <v>160</v>
      </c>
      <c r="C100" s="87">
        <v>23168.73</v>
      </c>
      <c r="D100" s="83">
        <v>15520.7</v>
      </c>
      <c r="E100" s="83">
        <v>10363.780000000001</v>
      </c>
      <c r="F100" s="83">
        <v>11436.68</v>
      </c>
      <c r="G100" s="82">
        <v>12423.45</v>
      </c>
      <c r="I100" s="282" t="s">
        <v>464</v>
      </c>
      <c r="J100">
        <f>(C69+C70)+(D69+D70)/2</f>
        <v>19049.990000000002</v>
      </c>
      <c r="K100">
        <f t="shared" ref="K100:N100" si="40">(D69+D70)+(E69+E70)/2</f>
        <v>15454.720000000001</v>
      </c>
      <c r="L100">
        <f t="shared" si="40"/>
        <v>11466.855</v>
      </c>
      <c r="M100">
        <f t="shared" si="40"/>
        <v>9730.4399999999987</v>
      </c>
      <c r="N100">
        <f t="shared" si="40"/>
        <v>6083.7</v>
      </c>
    </row>
    <row r="101" spans="2:15" x14ac:dyDescent="0.3">
      <c r="B101" s="8" t="s">
        <v>161</v>
      </c>
      <c r="C101" s="35">
        <v>15024.93</v>
      </c>
      <c r="D101" s="83">
        <v>12584.1</v>
      </c>
      <c r="E101" s="83">
        <v>10381.83</v>
      </c>
      <c r="F101" s="83">
        <v>10058.06</v>
      </c>
      <c r="G101" s="82">
        <v>10619.15</v>
      </c>
      <c r="I101" s="282" t="s">
        <v>465</v>
      </c>
    </row>
    <row r="102" spans="2:15" x14ac:dyDescent="0.3">
      <c r="B102" s="8" t="s">
        <v>162</v>
      </c>
      <c r="C102" s="35">
        <v>7451.57</v>
      </c>
      <c r="D102" s="83">
        <v>4240.83</v>
      </c>
      <c r="E102" s="83">
        <v>4374.84</v>
      </c>
      <c r="F102" s="83">
        <v>1032.26</v>
      </c>
      <c r="G102" s="82">
        <v>1408.88</v>
      </c>
      <c r="I102" s="283" t="s">
        <v>425</v>
      </c>
      <c r="J102" s="284"/>
      <c r="K102" s="284"/>
      <c r="L102" s="284"/>
      <c r="M102" s="284"/>
      <c r="N102" s="284"/>
      <c r="O102" s="284"/>
    </row>
    <row r="103" spans="2:15" x14ac:dyDescent="0.3">
      <c r="B103" s="8" t="s">
        <v>163</v>
      </c>
      <c r="C103" s="35">
        <v>5467.75</v>
      </c>
      <c r="D103" s="83">
        <v>6702.55</v>
      </c>
      <c r="E103" s="83">
        <v>4445.05</v>
      </c>
      <c r="F103" s="83">
        <v>5177.01</v>
      </c>
      <c r="G103" s="82">
        <v>4553.57</v>
      </c>
      <c r="I103" s="283" t="s">
        <v>466</v>
      </c>
      <c r="J103" s="270"/>
      <c r="K103" s="270"/>
      <c r="L103" s="270"/>
      <c r="M103" s="270"/>
      <c r="N103" s="270"/>
      <c r="O103" s="270"/>
    </row>
    <row r="104" spans="2:15" x14ac:dyDescent="0.3">
      <c r="B104" s="19" t="s">
        <v>164</v>
      </c>
      <c r="C104" s="35">
        <v>4723.46</v>
      </c>
      <c r="D104" s="83">
        <v>3480.3</v>
      </c>
      <c r="E104" s="83">
        <v>3914.6</v>
      </c>
      <c r="F104" s="83">
        <v>4587.82</v>
      </c>
      <c r="G104" s="82">
        <v>4050.18</v>
      </c>
    </row>
    <row r="105" spans="2:15" x14ac:dyDescent="0.3">
      <c r="B105" s="19" t="s">
        <v>165</v>
      </c>
      <c r="C105" s="35">
        <v>1320.27</v>
      </c>
      <c r="D105" s="83">
        <v>1295.7</v>
      </c>
      <c r="E105" s="83">
        <v>1808.88</v>
      </c>
      <c r="F105" s="83">
        <v>2338.5</v>
      </c>
      <c r="G105" s="82">
        <v>2009.85</v>
      </c>
      <c r="I105" t="s">
        <v>467</v>
      </c>
      <c r="J105" s="146">
        <v>65.84</v>
      </c>
      <c r="K105" s="146">
        <v>65.84</v>
      </c>
      <c r="L105" s="146">
        <v>65.84</v>
      </c>
      <c r="M105" s="146">
        <v>65.84</v>
      </c>
      <c r="N105" s="146">
        <v>65.84</v>
      </c>
      <c r="O105" s="9"/>
    </row>
    <row r="106" spans="2:15" x14ac:dyDescent="0.3">
      <c r="B106" s="19" t="s">
        <v>47</v>
      </c>
      <c r="C106" s="35">
        <v>4551.59</v>
      </c>
      <c r="D106" s="83">
        <v>4161.07</v>
      </c>
      <c r="E106" s="83">
        <v>4033.4</v>
      </c>
      <c r="F106" s="83">
        <v>4040.82</v>
      </c>
      <c r="G106" s="82">
        <v>3571.38</v>
      </c>
      <c r="I106" t="s">
        <v>38</v>
      </c>
      <c r="K106" s="35"/>
      <c r="M106" s="35"/>
      <c r="N106" s="35"/>
      <c r="O106" s="35"/>
    </row>
    <row r="107" spans="2:15" x14ac:dyDescent="0.3">
      <c r="B107" s="19" t="s">
        <v>48</v>
      </c>
      <c r="C107" s="35">
        <v>15119.24</v>
      </c>
      <c r="D107" s="86">
        <v>12521.45</v>
      </c>
      <c r="E107" s="86">
        <v>10069.969999999999</v>
      </c>
      <c r="F107" s="86">
        <v>11047.77</v>
      </c>
      <c r="G107" s="89">
        <v>9482.99</v>
      </c>
      <c r="I107" t="s">
        <v>56</v>
      </c>
      <c r="K107" s="55"/>
      <c r="L107" s="55"/>
      <c r="M107" s="55"/>
      <c r="N107" s="55"/>
      <c r="O107" s="55"/>
    </row>
    <row r="108" spans="2:15" x14ac:dyDescent="0.3">
      <c r="B108" s="44" t="s">
        <v>167</v>
      </c>
      <c r="C108" s="101">
        <v>106633.35</v>
      </c>
      <c r="D108" s="101">
        <v>84206.83</v>
      </c>
      <c r="E108" s="105">
        <v>67525.83</v>
      </c>
      <c r="F108" s="101">
        <v>71125</v>
      </c>
      <c r="G108" s="103">
        <v>70205.14</v>
      </c>
      <c r="I108" t="s">
        <v>468</v>
      </c>
      <c r="K108" s="55"/>
    </row>
    <row r="109" spans="2:15" x14ac:dyDescent="0.3">
      <c r="B109" s="40" t="s">
        <v>168</v>
      </c>
      <c r="C109" s="90">
        <v>14605.78</v>
      </c>
      <c r="D109" s="35">
        <v>12315.64</v>
      </c>
      <c r="E109" s="35">
        <v>9923.94</v>
      </c>
      <c r="F109" s="90">
        <v>7466.71</v>
      </c>
      <c r="G109" s="102">
        <v>7822.8</v>
      </c>
    </row>
    <row r="110" spans="2:15" x14ac:dyDescent="0.3">
      <c r="B110" s="12" t="s">
        <v>169</v>
      </c>
      <c r="C110" s="52"/>
      <c r="D110" s="53"/>
      <c r="E110" s="47"/>
      <c r="F110" s="52"/>
      <c r="G110" s="108"/>
      <c r="I110" s="285" t="s">
        <v>469</v>
      </c>
      <c r="J110" s="285"/>
      <c r="K110" s="287"/>
      <c r="L110" s="285"/>
      <c r="M110" s="285"/>
      <c r="N110" s="285"/>
      <c r="O110" s="285"/>
    </row>
    <row r="111" spans="2:15" x14ac:dyDescent="0.3">
      <c r="B111" s="8" t="s">
        <v>170</v>
      </c>
      <c r="C111" s="6">
        <v>208.96</v>
      </c>
      <c r="D111" s="19">
        <v>380.33</v>
      </c>
      <c r="E111">
        <v>189.22</v>
      </c>
      <c r="F111" s="19"/>
      <c r="G111" s="19"/>
      <c r="I111" t="s">
        <v>470</v>
      </c>
      <c r="K111" s="257"/>
      <c r="L111" s="257"/>
      <c r="M111" s="257"/>
      <c r="N111" s="56"/>
      <c r="O111" s="56"/>
    </row>
    <row r="112" spans="2:15" x14ac:dyDescent="0.3">
      <c r="B112" s="12" t="s">
        <v>171</v>
      </c>
      <c r="C112" s="83">
        <v>14814.74</v>
      </c>
      <c r="D112" s="83">
        <v>12695.97</v>
      </c>
      <c r="E112" s="35">
        <v>10113.16</v>
      </c>
      <c r="F112" s="52"/>
      <c r="G112" s="108"/>
    </row>
    <row r="113" spans="2:15" x14ac:dyDescent="0.3">
      <c r="B113" s="40" t="s">
        <v>158</v>
      </c>
      <c r="C113" s="19">
        <v>88.03</v>
      </c>
      <c r="D113" s="4">
        <v>69.11</v>
      </c>
      <c r="E113">
        <v>341.73</v>
      </c>
      <c r="F113" s="21"/>
      <c r="G113" s="29"/>
    </row>
    <row r="114" spans="2:15" x14ac:dyDescent="0.3">
      <c r="B114" s="12" t="s">
        <v>295</v>
      </c>
      <c r="C114" s="91">
        <v>14726.71</v>
      </c>
      <c r="D114" s="91">
        <v>12626.86</v>
      </c>
      <c r="E114" s="121">
        <v>9771.43</v>
      </c>
      <c r="F114" s="64">
        <v>562.22</v>
      </c>
      <c r="G114" s="120">
        <v>29.06</v>
      </c>
      <c r="I114" t="s">
        <v>471</v>
      </c>
      <c r="J114" t="s">
        <v>472</v>
      </c>
    </row>
    <row r="115" spans="2:15" x14ac:dyDescent="0.3">
      <c r="B115" s="40" t="s">
        <v>49</v>
      </c>
      <c r="C115" s="40"/>
      <c r="D115" s="59"/>
      <c r="E115" s="20"/>
      <c r="F115" s="9"/>
      <c r="G115" s="20"/>
      <c r="J115" t="s">
        <v>473</v>
      </c>
    </row>
    <row r="116" spans="2:15" x14ac:dyDescent="0.3">
      <c r="B116" s="8" t="s">
        <v>172</v>
      </c>
      <c r="C116" s="40"/>
      <c r="D116" s="59"/>
      <c r="E116" s="20"/>
      <c r="F116" s="9"/>
      <c r="G116" s="20"/>
      <c r="J116" t="s">
        <v>472</v>
      </c>
    </row>
    <row r="117" spans="2:15" x14ac:dyDescent="0.3">
      <c r="B117" s="19" t="s">
        <v>51</v>
      </c>
      <c r="C117" s="83">
        <v>3432.67</v>
      </c>
      <c r="D117" s="51">
        <v>1954.4</v>
      </c>
      <c r="E117" s="83">
        <v>1959.4</v>
      </c>
      <c r="F117" s="35">
        <v>1607.38</v>
      </c>
      <c r="G117" s="83">
        <v>2339.4</v>
      </c>
    </row>
    <row r="118" spans="2:15" x14ac:dyDescent="0.3">
      <c r="B118" s="19" t="s">
        <v>50</v>
      </c>
      <c r="C118" s="19">
        <v>215.84</v>
      </c>
      <c r="D118" s="124">
        <v>18.09</v>
      </c>
      <c r="E118" s="86">
        <v>1062.79</v>
      </c>
      <c r="F118" s="86">
        <v>1633.59</v>
      </c>
      <c r="G118" s="4">
        <v>94.83</v>
      </c>
    </row>
    <row r="119" spans="2:15" x14ac:dyDescent="0.3">
      <c r="B119" s="37" t="s">
        <v>159</v>
      </c>
      <c r="C119" s="101">
        <v>3648.51</v>
      </c>
      <c r="D119" s="103">
        <v>1936.31</v>
      </c>
      <c r="E119" s="48">
        <v>3022.19</v>
      </c>
      <c r="F119" s="104">
        <v>30.65</v>
      </c>
      <c r="G119" s="101">
        <v>2418.7199999999998</v>
      </c>
      <c r="I119" t="s">
        <v>474</v>
      </c>
      <c r="K119" s="56"/>
      <c r="L119" s="56"/>
      <c r="M119" s="56"/>
      <c r="N119" s="56"/>
      <c r="O119" s="56"/>
    </row>
    <row r="120" spans="2:15" x14ac:dyDescent="0.3">
      <c r="B120" s="45" t="s">
        <v>296</v>
      </c>
      <c r="C120" s="98">
        <v>11078.2</v>
      </c>
      <c r="D120" s="89">
        <v>10690.55</v>
      </c>
      <c r="E120" s="121">
        <v>6749.24</v>
      </c>
      <c r="F120" s="92">
        <v>6677.48</v>
      </c>
      <c r="G120" s="121">
        <v>2744.74</v>
      </c>
      <c r="K120" s="56"/>
      <c r="L120" s="56"/>
      <c r="M120" s="56"/>
      <c r="N120" s="56"/>
      <c r="O120" s="56"/>
    </row>
    <row r="121" spans="2:15" x14ac:dyDescent="0.3">
      <c r="B121" s="113" t="s">
        <v>173</v>
      </c>
      <c r="C121" s="106"/>
      <c r="D121" s="107"/>
      <c r="E121" s="106"/>
      <c r="F121" s="126"/>
      <c r="G121" s="128"/>
    </row>
    <row r="122" spans="2:15" x14ac:dyDescent="0.3">
      <c r="B122" s="109" t="s">
        <v>174</v>
      </c>
      <c r="C122" s="106"/>
      <c r="D122" s="19">
        <v>352.52</v>
      </c>
      <c r="E122" s="19">
        <v>162.79</v>
      </c>
      <c r="F122" s="125">
        <v>90.03</v>
      </c>
      <c r="G122" s="19">
        <v>54.94</v>
      </c>
      <c r="I122" s="286" t="s">
        <v>475</v>
      </c>
      <c r="J122" s="286"/>
      <c r="K122" s="286"/>
      <c r="L122" s="286"/>
    </row>
    <row r="123" spans="2:15" x14ac:dyDescent="0.3">
      <c r="B123" s="109" t="s">
        <v>175</v>
      </c>
      <c r="C123" s="106"/>
      <c r="D123" s="19">
        <v>670.71</v>
      </c>
      <c r="E123" s="19">
        <v>166.5</v>
      </c>
      <c r="F123" s="6">
        <v>36.630000000000003</v>
      </c>
      <c r="G123" s="122">
        <v>15.31</v>
      </c>
      <c r="I123" t="s">
        <v>476</v>
      </c>
    </row>
    <row r="124" spans="2:15" x14ac:dyDescent="0.3">
      <c r="B124" s="109" t="s">
        <v>176</v>
      </c>
      <c r="C124" s="106"/>
      <c r="D124" s="19">
        <v>440.07</v>
      </c>
      <c r="E124" s="122">
        <v>66.099999999999994</v>
      </c>
      <c r="F124" s="126"/>
      <c r="G124" s="106"/>
    </row>
    <row r="125" spans="2:15" x14ac:dyDescent="0.3">
      <c r="B125" s="109" t="s">
        <v>177</v>
      </c>
      <c r="C125" s="106"/>
      <c r="D125" s="19">
        <v>67.42</v>
      </c>
      <c r="E125" s="19">
        <v>25.73</v>
      </c>
      <c r="F125" s="6">
        <v>53.4</v>
      </c>
      <c r="G125" s="19">
        <v>39.630000000000003</v>
      </c>
    </row>
    <row r="126" spans="2:15" x14ac:dyDescent="0.3">
      <c r="B126" s="40" t="s">
        <v>178</v>
      </c>
      <c r="C126" s="106"/>
      <c r="D126" s="19">
        <v>515.74</v>
      </c>
      <c r="E126" s="19">
        <v>237.46</v>
      </c>
      <c r="F126" s="126"/>
      <c r="G126" s="106"/>
    </row>
    <row r="127" spans="2:15" x14ac:dyDescent="0.3">
      <c r="B127" s="40" t="s">
        <v>179</v>
      </c>
      <c r="C127" s="43">
        <v>11078.2</v>
      </c>
      <c r="D127" s="123">
        <v>11206.29</v>
      </c>
      <c r="E127" s="43">
        <v>6986.7</v>
      </c>
      <c r="F127" s="127">
        <v>6677.48</v>
      </c>
      <c r="G127" s="123">
        <v>2744.74</v>
      </c>
    </row>
    <row r="128" spans="2:15" x14ac:dyDescent="0.3">
      <c r="B128" s="40" t="s">
        <v>42</v>
      </c>
      <c r="C128" s="40"/>
      <c r="D128" s="51"/>
      <c r="E128" s="20"/>
      <c r="F128" s="29"/>
      <c r="G128" s="20"/>
    </row>
    <row r="129" spans="2:7" x14ac:dyDescent="0.3">
      <c r="B129" s="19" t="s">
        <v>180</v>
      </c>
      <c r="C129" s="82">
        <v>3444.28</v>
      </c>
      <c r="D129" s="83">
        <v>3442.16</v>
      </c>
      <c r="E129" s="83">
        <v>6986.7</v>
      </c>
      <c r="F129" s="82">
        <v>5512.19</v>
      </c>
      <c r="G129" s="20">
        <v>2689.45</v>
      </c>
    </row>
    <row r="130" spans="2:7" ht="28.8" x14ac:dyDescent="0.3">
      <c r="B130" s="39" t="s">
        <v>181</v>
      </c>
      <c r="C130" s="6">
        <v>387.85</v>
      </c>
      <c r="D130" s="19">
        <v>221.77</v>
      </c>
      <c r="E130" s="19">
        <v>387.07</v>
      </c>
      <c r="F130" s="6">
        <v>373.62</v>
      </c>
      <c r="G130" s="83">
        <v>31.06</v>
      </c>
    </row>
    <row r="131" spans="2:7" x14ac:dyDescent="0.3">
      <c r="B131" s="19" t="s">
        <v>182</v>
      </c>
      <c r="C131" s="6">
        <v>182.04</v>
      </c>
      <c r="D131" s="19">
        <v>63.88</v>
      </c>
      <c r="E131" s="19">
        <v>163.53</v>
      </c>
      <c r="F131" s="6">
        <v>145.53</v>
      </c>
      <c r="G131" s="19">
        <v>77.38</v>
      </c>
    </row>
    <row r="132" spans="2:7" x14ac:dyDescent="0.3">
      <c r="B132" s="8" t="s">
        <v>183</v>
      </c>
      <c r="C132" s="6">
        <v>57.69</v>
      </c>
      <c r="D132" s="19">
        <v>3.47</v>
      </c>
      <c r="E132" s="19">
        <v>18.75</v>
      </c>
      <c r="F132" s="6">
        <v>8.9600000000000009</v>
      </c>
      <c r="G132" s="83">
        <v>16.63</v>
      </c>
    </row>
    <row r="133" spans="2:7" x14ac:dyDescent="0.3">
      <c r="B133" s="12" t="s">
        <v>184</v>
      </c>
      <c r="C133" s="82">
        <v>3180.78</v>
      </c>
      <c r="D133" s="86">
        <v>3280.8</v>
      </c>
      <c r="E133" s="83">
        <v>4840.92</v>
      </c>
      <c r="F133" s="82">
        <v>5002</v>
      </c>
      <c r="G133" s="83">
        <v>2781.26</v>
      </c>
    </row>
    <row r="134" spans="2:7" x14ac:dyDescent="0.3">
      <c r="B134" s="111" t="s">
        <v>185</v>
      </c>
      <c r="C134" s="92">
        <v>7897.42</v>
      </c>
      <c r="D134" s="91">
        <v>14487.09</v>
      </c>
      <c r="E134" s="92">
        <v>11827.62</v>
      </c>
      <c r="F134" s="91">
        <v>1675.48</v>
      </c>
      <c r="G134" s="92">
        <v>36.520000000000003</v>
      </c>
    </row>
    <row r="135" spans="2:7" x14ac:dyDescent="0.3">
      <c r="B135" s="113" t="s">
        <v>186</v>
      </c>
      <c r="C135" s="41"/>
      <c r="D135" s="60"/>
      <c r="E135" s="43"/>
      <c r="F135" s="99"/>
      <c r="G135" s="43"/>
    </row>
    <row r="136" spans="2:7" x14ac:dyDescent="0.3">
      <c r="B136" s="112" t="s">
        <v>187</v>
      </c>
      <c r="C136" s="83">
        <v>6827.26</v>
      </c>
      <c r="D136" s="35">
        <v>7102.37</v>
      </c>
      <c r="E136" s="35">
        <v>4128.41</v>
      </c>
      <c r="F136" s="82">
        <v>4425.1899999999996</v>
      </c>
      <c r="G136" s="83">
        <v>1692.99</v>
      </c>
    </row>
    <row r="137" spans="2:7" x14ac:dyDescent="0.3">
      <c r="B137" s="112" t="s">
        <v>188</v>
      </c>
      <c r="C137" s="83">
        <v>4250.9399999999996</v>
      </c>
      <c r="D137" s="35">
        <v>3588.18</v>
      </c>
      <c r="E137" s="83">
        <v>2620.83</v>
      </c>
      <c r="F137" s="89">
        <v>2252.29</v>
      </c>
      <c r="G137" s="82">
        <v>1051.75</v>
      </c>
    </row>
    <row r="138" spans="2:7" x14ac:dyDescent="0.3">
      <c r="B138" s="112"/>
      <c r="C138" s="115">
        <v>11078.2</v>
      </c>
      <c r="D138" s="116">
        <v>10690.55</v>
      </c>
      <c r="E138" s="94">
        <v>6749.24</v>
      </c>
      <c r="F138" s="116">
        <v>6677.48</v>
      </c>
      <c r="G138" s="94">
        <v>2744.74</v>
      </c>
    </row>
    <row r="139" spans="2:7" x14ac:dyDescent="0.3">
      <c r="B139" s="40" t="s">
        <v>189</v>
      </c>
      <c r="C139" s="39"/>
      <c r="D139" s="59"/>
      <c r="E139" s="19"/>
      <c r="G139" s="19"/>
    </row>
    <row r="140" spans="2:7" x14ac:dyDescent="0.3">
      <c r="B140" s="19" t="s">
        <v>187</v>
      </c>
      <c r="C140" s="83">
        <v>6827.26</v>
      </c>
      <c r="D140" s="83">
        <v>7549.78</v>
      </c>
      <c r="E140" s="83">
        <v>4304.82</v>
      </c>
      <c r="F140" s="83">
        <v>4425.1899999999996</v>
      </c>
      <c r="G140" s="83">
        <v>1692.99</v>
      </c>
    </row>
    <row r="141" spans="2:7" x14ac:dyDescent="0.3">
      <c r="B141" s="112" t="s">
        <v>188</v>
      </c>
      <c r="C141" s="83">
        <v>4250.9399999999996</v>
      </c>
      <c r="D141" s="124">
        <v>3656.51</v>
      </c>
      <c r="E141" s="82">
        <v>2681.88</v>
      </c>
      <c r="F141" s="83">
        <v>2252.29</v>
      </c>
      <c r="G141" s="83">
        <v>1051.75</v>
      </c>
    </row>
    <row r="142" spans="2:7" x14ac:dyDescent="0.3">
      <c r="B142" s="112"/>
      <c r="C142" s="115">
        <v>11078.2</v>
      </c>
      <c r="D142" s="116">
        <v>11206.29</v>
      </c>
      <c r="E142" s="94">
        <v>6986.7</v>
      </c>
      <c r="F142" s="94">
        <v>6677.48</v>
      </c>
      <c r="G142" s="94">
        <v>2744.74</v>
      </c>
    </row>
    <row r="143" spans="2:7" x14ac:dyDescent="0.3">
      <c r="B143" s="40" t="s">
        <v>190</v>
      </c>
      <c r="C143" s="39"/>
      <c r="D143" s="59"/>
      <c r="E143" s="19"/>
      <c r="G143" s="19"/>
    </row>
    <row r="144" spans="2:7" x14ac:dyDescent="0.3">
      <c r="B144" s="19" t="s">
        <v>187</v>
      </c>
      <c r="C144" s="83">
        <v>3104.23</v>
      </c>
      <c r="D144" s="83">
        <v>3281.85</v>
      </c>
      <c r="E144" s="83">
        <v>4780.54</v>
      </c>
      <c r="F144" s="35">
        <v>5067.74</v>
      </c>
      <c r="G144" s="83">
        <v>2822.5</v>
      </c>
    </row>
    <row r="145" spans="2:7" x14ac:dyDescent="0.3">
      <c r="B145" s="112" t="s">
        <v>188</v>
      </c>
      <c r="C145" s="19">
        <v>76.55</v>
      </c>
      <c r="D145">
        <v>1.05</v>
      </c>
      <c r="E145" s="19">
        <v>60.38</v>
      </c>
      <c r="F145" s="35">
        <v>65.739999999999995</v>
      </c>
      <c r="G145" s="19">
        <v>41.24</v>
      </c>
    </row>
    <row r="146" spans="2:7" x14ac:dyDescent="0.3">
      <c r="B146" s="112"/>
      <c r="C146" s="94">
        <v>3180.78</v>
      </c>
      <c r="D146" s="116">
        <v>3280.8</v>
      </c>
      <c r="E146" s="94">
        <v>4840.92</v>
      </c>
      <c r="F146" s="94">
        <v>5002</v>
      </c>
      <c r="G146" s="94">
        <v>2781.26</v>
      </c>
    </row>
    <row r="147" spans="2:7" x14ac:dyDescent="0.3">
      <c r="B147" s="40" t="s">
        <v>191</v>
      </c>
      <c r="C147" s="39"/>
      <c r="D147" s="59"/>
      <c r="E147" s="19"/>
      <c r="G147" s="19"/>
    </row>
    <row r="148" spans="2:7" x14ac:dyDescent="0.3">
      <c r="B148" s="112" t="s">
        <v>187</v>
      </c>
      <c r="C148" s="83">
        <v>3723.03</v>
      </c>
      <c r="D148" s="83">
        <v>10831.63</v>
      </c>
      <c r="E148" s="83">
        <v>9085.36</v>
      </c>
      <c r="F148" s="19">
        <v>642.54999999999995</v>
      </c>
      <c r="G148" s="83">
        <v>1129.51</v>
      </c>
    </row>
    <row r="149" spans="2:7" x14ac:dyDescent="0.3">
      <c r="B149" s="112" t="s">
        <v>188</v>
      </c>
      <c r="C149" s="83">
        <v>4174.3900000000003</v>
      </c>
      <c r="D149" s="86">
        <v>3655.46</v>
      </c>
      <c r="E149" s="86">
        <v>2742.26</v>
      </c>
      <c r="F149" s="86">
        <v>2318.0300000000002</v>
      </c>
      <c r="G149" s="86">
        <v>1092.99</v>
      </c>
    </row>
    <row r="150" spans="2:7" x14ac:dyDescent="0.3">
      <c r="B150" s="112"/>
      <c r="C150" s="94">
        <v>7897.42</v>
      </c>
      <c r="D150" s="93">
        <v>14487.09</v>
      </c>
      <c r="E150" s="94">
        <v>11827.62</v>
      </c>
      <c r="F150" s="116">
        <v>1675.48</v>
      </c>
      <c r="G150" s="77">
        <v>36.520000000000003</v>
      </c>
    </row>
    <row r="151" spans="2:7" x14ac:dyDescent="0.3">
      <c r="B151" s="40" t="s">
        <v>192</v>
      </c>
      <c r="C151" s="39"/>
      <c r="D151" s="59"/>
      <c r="E151" s="19"/>
      <c r="G151" s="19"/>
    </row>
    <row r="152" spans="2:7" x14ac:dyDescent="0.3">
      <c r="B152" s="112" t="s">
        <v>193</v>
      </c>
      <c r="C152" s="19">
        <v>103.98</v>
      </c>
      <c r="D152" s="19">
        <v>108.16</v>
      </c>
      <c r="E152" s="19">
        <v>62.88</v>
      </c>
      <c r="F152">
        <v>67.42</v>
      </c>
      <c r="G152" s="19">
        <v>25.76</v>
      </c>
    </row>
    <row r="153" spans="2:7" x14ac:dyDescent="0.3">
      <c r="B153" s="19" t="s">
        <v>194</v>
      </c>
      <c r="C153" s="19">
        <v>103.88</v>
      </c>
      <c r="D153" s="130">
        <v>108</v>
      </c>
      <c r="E153" s="19">
        <v>62.82</v>
      </c>
      <c r="F153">
        <v>67.38</v>
      </c>
      <c r="G153" s="19">
        <v>25.74</v>
      </c>
    </row>
    <row r="154" spans="2:7" x14ac:dyDescent="0.3">
      <c r="B154" s="31" t="s">
        <v>195</v>
      </c>
      <c r="C154" s="39"/>
      <c r="D154" s="59"/>
      <c r="E154" s="19"/>
      <c r="G154" s="19"/>
    </row>
    <row r="155" spans="2:7" x14ac:dyDescent="0.3">
      <c r="B155" s="19" t="s">
        <v>193</v>
      </c>
      <c r="C155" s="39"/>
      <c r="D155" s="129">
        <v>6.82</v>
      </c>
      <c r="E155" s="19">
        <v>2.69</v>
      </c>
      <c r="G155" s="19"/>
    </row>
    <row r="156" spans="2:7" x14ac:dyDescent="0.3">
      <c r="B156" s="19" t="s">
        <v>194</v>
      </c>
      <c r="C156" s="39"/>
      <c r="D156" s="114">
        <v>6.8</v>
      </c>
      <c r="E156" s="19">
        <v>2.68</v>
      </c>
      <c r="G156" s="19"/>
    </row>
    <row r="157" spans="2:7" x14ac:dyDescent="0.3">
      <c r="B157" s="31" t="s">
        <v>196</v>
      </c>
      <c r="C157" s="39"/>
      <c r="D157" s="59"/>
      <c r="E157" s="19"/>
      <c r="G157" s="19"/>
    </row>
    <row r="158" spans="2:7" x14ac:dyDescent="0.3">
      <c r="B158" s="19" t="s">
        <v>193</v>
      </c>
      <c r="C158" s="19">
        <v>103.98</v>
      </c>
      <c r="D158">
        <v>114.98</v>
      </c>
      <c r="E158" s="19">
        <v>65.569999999999993</v>
      </c>
      <c r="F158">
        <v>67.42</v>
      </c>
      <c r="G158" s="19">
        <v>25.76</v>
      </c>
    </row>
    <row r="159" spans="2:7" x14ac:dyDescent="0.3">
      <c r="B159" s="19" t="s">
        <v>194</v>
      </c>
      <c r="C159" s="19">
        <v>103.88</v>
      </c>
      <c r="D159" s="55">
        <v>114.8</v>
      </c>
      <c r="E159" s="19">
        <v>65.5</v>
      </c>
      <c r="F159" s="6">
        <v>67.38</v>
      </c>
      <c r="G159" s="19">
        <v>25.74</v>
      </c>
    </row>
    <row r="160" spans="2:7" x14ac:dyDescent="0.3">
      <c r="B160" s="42"/>
      <c r="C160" s="42"/>
      <c r="D160" s="61"/>
      <c r="E160" s="4"/>
      <c r="F160" s="16"/>
      <c r="G160" s="4"/>
    </row>
  </sheetData>
  <mergeCells count="6">
    <mergeCell ref="R3:Y3"/>
    <mergeCell ref="B89:G89"/>
    <mergeCell ref="B90:G90"/>
    <mergeCell ref="B2:G2"/>
    <mergeCell ref="B3:G3"/>
    <mergeCell ref="I2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 Details</vt:lpstr>
      <vt:lpstr>Balance Sheet</vt:lpstr>
      <vt:lpstr>Statement of P &amp; L</vt:lpstr>
      <vt:lpstr>Statement of CFS</vt:lpstr>
      <vt:lpstr>Analysis of CFS</vt:lpstr>
      <vt:lpstr>Vertical Analysis of BS</vt:lpstr>
      <vt:lpstr>Vertical Analysis of P&amp;L</vt:lpstr>
      <vt:lpstr>Horizontal Analysis of BS</vt:lpstr>
      <vt:lpstr>Horizontal Analysis of P&amp;L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2024-02-03T15:05:45Z</dcterms:modified>
</cp:coreProperties>
</file>