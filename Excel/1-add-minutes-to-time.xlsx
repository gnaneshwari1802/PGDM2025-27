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FD848E3-774D-4C38-AA05-C018456D90C3}" xr6:coauthVersionLast="47" xr6:coauthVersionMax="47" xr10:uidLastSave="{00000000-0000-0000-0000-000000000000}"/>
  <bookViews>
    <workbookView xWindow="-108" yWindow="-108" windowWidth="23256" windowHeight="12456" xr2:uid="{B576DB91-C9DB-4FD2-A398-E93BAE763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6" i="1" l="1"/>
  <c r="Q67" i="1"/>
  <c r="P50" i="1"/>
  <c r="Q50" i="1"/>
  <c r="R50" i="1"/>
  <c r="P35" i="1"/>
  <c r="P21" i="1"/>
  <c r="P22" i="1"/>
  <c r="P23" i="1"/>
  <c r="P17" i="1"/>
  <c r="R17" i="1" s="1"/>
  <c r="S17" i="1" s="1"/>
  <c r="Q17" i="1"/>
  <c r="T17" i="1"/>
  <c r="U17" i="1"/>
  <c r="P18" i="1"/>
  <c r="R18" i="1" s="1"/>
  <c r="S18" i="1" s="1"/>
  <c r="Q18" i="1"/>
  <c r="T18" i="1"/>
  <c r="U18" i="1"/>
  <c r="P2" i="1"/>
  <c r="Q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I13" i="1"/>
  <c r="I14" i="1"/>
  <c r="I15" i="1"/>
  <c r="I16" i="1"/>
  <c r="I17" i="1"/>
  <c r="I18" i="1"/>
  <c r="H8" i="1"/>
  <c r="H2" i="1"/>
  <c r="H3" i="1"/>
  <c r="E65" i="1"/>
  <c r="E66" i="1"/>
  <c r="E53" i="1"/>
  <c r="E56" i="1"/>
  <c r="F56" i="1"/>
  <c r="E57" i="1"/>
  <c r="F57" i="1" s="1"/>
  <c r="E58" i="1"/>
  <c r="F58" i="1"/>
  <c r="E59" i="1"/>
  <c r="F59" i="1" s="1"/>
  <c r="E60" i="1"/>
  <c r="F60" i="1"/>
  <c r="E61" i="1"/>
  <c r="F61" i="1"/>
  <c r="E62" i="1"/>
  <c r="F62" i="1" s="1"/>
  <c r="F20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B63" i="1"/>
  <c r="B64" i="1"/>
  <c r="B65" i="1"/>
  <c r="B66" i="1"/>
  <c r="B67" i="1"/>
  <c r="B68" i="1"/>
  <c r="B59" i="1"/>
  <c r="A55" i="1"/>
  <c r="A56" i="1"/>
  <c r="B39" i="1"/>
  <c r="B32" i="1"/>
  <c r="B34" i="1"/>
  <c r="B29" i="1"/>
  <c r="A21" i="1"/>
  <c r="A20" i="1"/>
  <c r="A26" i="1"/>
  <c r="A12" i="1"/>
  <c r="A15" i="1"/>
  <c r="B7" i="1"/>
  <c r="B2" i="1"/>
</calcChain>
</file>

<file path=xl/sharedStrings.xml><?xml version="1.0" encoding="utf-8"?>
<sst xmlns="http://schemas.openxmlformats.org/spreadsheetml/2006/main" count="47" uniqueCount="45">
  <si>
    <t>1-add-minutes-to-time</t>
  </si>
  <si>
    <t>shift and drag to interchange</t>
  </si>
  <si>
    <t>2-add-years-to-date</t>
  </si>
  <si>
    <t>3-add-week-to-a-date</t>
  </si>
  <si>
    <t>4-get-month-from-date</t>
  </si>
  <si>
    <t>5-extract-date</t>
  </si>
  <si>
    <t>6-get-time</t>
  </si>
  <si>
    <t>7-cube-root</t>
  </si>
  <si>
    <t>Values</t>
  </si>
  <si>
    <t>8-count-unique-values</t>
  </si>
  <si>
    <t>9-get-day-name</t>
  </si>
  <si>
    <t>10-get-day-number</t>
  </si>
  <si>
    <t>Dates</t>
  </si>
  <si>
    <t>11-get-total-number-of-days</t>
  </si>
  <si>
    <t>12-if-negative-then-zero</t>
  </si>
  <si>
    <t>Amount</t>
  </si>
  <si>
    <t>Date</t>
  </si>
  <si>
    <t>13-sum-values-between-two-dates</t>
  </si>
  <si>
    <t>9  86 00 7 5586</t>
  </si>
  <si>
    <t>9  9 72  6 26280</t>
  </si>
  <si>
    <t>98  36 459 420</t>
  </si>
  <si>
    <t>99 07  20 3717</t>
  </si>
  <si>
    <t>9  8964 3 30 18</t>
  </si>
  <si>
    <t>990    3414  720</t>
  </si>
  <si>
    <t>998 001  4876</t>
  </si>
  <si>
    <t xml:space="preserve">         2979/8   Gurgaon   Delhi    Amritsar     India 143001         							</t>
  </si>
  <si>
    <t>14-remove-unwanted-spavces</t>
  </si>
  <si>
    <t>15-military-time</t>
  </si>
  <si>
    <t>16-random-letters</t>
  </si>
  <si>
    <t>17-square-root</t>
  </si>
  <si>
    <t>With Zeros</t>
  </si>
  <si>
    <t>Numbers</t>
  </si>
  <si>
    <t>18-add-leading-zeros</t>
  </si>
  <si>
    <t>4,4,4,1,1,1,2,2,2,3,3,3</t>
  </si>
  <si>
    <t>1,1,1,2,2,2,3,3,3,4,4,4</t>
  </si>
  <si>
    <t>19-get-quarter</t>
  </si>
  <si>
    <t>20-round-to-nearest-1000-100-10</t>
  </si>
  <si>
    <t>21-countif-non-blank-cells</t>
  </si>
  <si>
    <t>22-count-unique-values</t>
  </si>
  <si>
    <t>23-sumif-less-than</t>
  </si>
  <si>
    <t>C</t>
  </si>
  <si>
    <t>B</t>
  </si>
  <si>
    <t>A</t>
  </si>
  <si>
    <t xml:space="preserve"> </t>
  </si>
  <si>
    <t>25-count-cells-with-text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</si>
</sst>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164" formatCode="dddd\,\ dd/mmm/yy"/>
  </numFmts>
  <fonts count="10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1"/>
      <name val="Open Sans"/>
      <family val="2"/>
    </font>
    <font>
      <b/>
      <sz val="11"/>
      <color theme="0"/>
      <name val="Calibri Light"/>
      <family val="2"/>
    </font>
    <font>
      <sz val="36"/>
      <color theme="1"/>
      <name val="Verdana"/>
      <family val="2"/>
    </font>
    <font>
      <sz val="48"/>
      <color rgb="FF006100"/>
      <name val="Verdana"/>
      <family val="2"/>
    </font>
    <font>
      <sz val="11"/>
      <name val="Verdana"/>
      <family val="2"/>
    </font>
    <font>
      <sz val="11"/>
      <color theme="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EA4C3A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2">
    <xf numFmtId="0" fontId="0" fillId="0" borderId="0" xfId="0"/>
    <xf numFmtId="18" fontId="1" fillId="0" borderId="0" xfId="0" applyNumberFormat="1" applyFont="1" applyAlignment="1">
      <alignment horizontal="center" vertical="center"/>
    </xf>
    <xf numFmtId="15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5" fontId="0" fillId="0" borderId="0" xfId="0" applyNumberFormat="1"/>
    <xf numFmtId="22" fontId="0" fillId="0" borderId="0" xfId="0" applyNumberFormat="1"/>
    <xf numFmtId="1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3" borderId="2" xfId="0" applyNumberFormat="1" applyFill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2" fontId="0" fillId="0" borderId="3" xfId="0" applyNumberFormat="1" applyBorder="1" applyAlignment="1">
      <alignment horizontal="center"/>
    </xf>
    <xf numFmtId="15" fontId="0" fillId="0" borderId="4" xfId="0" applyNumberFormat="1" applyBorder="1" applyAlignment="1">
      <alignment horizontal="center" vertical="center"/>
    </xf>
    <xf numFmtId="42" fontId="0" fillId="0" borderId="5" xfId="0" applyNumberFormat="1" applyBorder="1" applyAlignment="1">
      <alignment horizontal="center"/>
    </xf>
    <xf numFmtId="15" fontId="0" fillId="0" borderId="6" xfId="0" applyNumberForma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18" fontId="0" fillId="0" borderId="0" xfId="0" applyNumberFormat="1"/>
    <xf numFmtId="0" fontId="6" fillId="0" borderId="0" xfId="0" applyFont="1"/>
    <xf numFmtId="0" fontId="7" fillId="2" borderId="0" xfId="1" applyFont="1"/>
    <xf numFmtId="0" fontId="8" fillId="0" borderId="7" xfId="0" applyFont="1" applyBorder="1" applyAlignment="1">
      <alignment horizontal="right" vertical="center"/>
    </xf>
    <xf numFmtId="0" fontId="9" fillId="5" borderId="8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0" xfId="0" applyFill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E702-D7F0-4925-A326-BFBA7B5FF4E2}">
  <dimension ref="A1:Z73"/>
  <sheetViews>
    <sheetView tabSelected="1" topLeftCell="C43" zoomScale="85" zoomScaleNormal="85" workbookViewId="0">
      <selection activeCell="K62" sqref="K62"/>
    </sheetView>
  </sheetViews>
  <sheetFormatPr defaultRowHeight="14.4" x14ac:dyDescent="0.3"/>
  <cols>
    <col min="1" max="1" width="28.44140625" customWidth="1"/>
    <col min="2" max="2" width="27.33203125" customWidth="1"/>
  </cols>
  <sheetData>
    <row r="1" spans="1:26" x14ac:dyDescent="0.3">
      <c r="A1" t="s">
        <v>0</v>
      </c>
      <c r="D1" t="s">
        <v>14</v>
      </c>
      <c r="H1" t="s">
        <v>28</v>
      </c>
      <c r="O1" t="s">
        <v>35</v>
      </c>
    </row>
    <row r="2" spans="1:26" ht="23.4" customHeight="1" x14ac:dyDescent="0.3">
      <c r="A2" s="1">
        <v>6.9444444444444447E-4</v>
      </c>
      <c r="B2" s="1">
        <f>A2+TIME(0,15,0)</f>
        <v>1.111111111111111E-2</v>
      </c>
      <c r="D2" s="8">
        <v>9</v>
      </c>
      <c r="E2">
        <f>IF(D2&lt;0,0,D2)</f>
        <v>9</v>
      </c>
      <c r="H2" t="str">
        <f ca="1">CHAR(RANDBETWEEN(M2,M3))</f>
        <v>s</v>
      </c>
      <c r="L2" s="7">
        <v>65</v>
      </c>
      <c r="M2" s="7">
        <v>97</v>
      </c>
      <c r="O2" s="4">
        <v>44197</v>
      </c>
      <c r="P2" t="str">
        <f>"Q-"&amp;CHOOSE(MONTH(O2),1,1,1,2,2,2,3,3,3,4,4,4)</f>
        <v>Q-1</v>
      </c>
      <c r="Q2" t="str">
        <f>"Q-"&amp;CHOOSE(MONTH(O2),4,4,4,1,1,1,2,2,2,3,3,3)</f>
        <v>Q-4</v>
      </c>
    </row>
    <row r="3" spans="1:26" x14ac:dyDescent="0.3">
      <c r="D3" s="8">
        <v>-10</v>
      </c>
      <c r="E3">
        <f>IF(D3&lt;0,0,D3)</f>
        <v>0</v>
      </c>
      <c r="H3" t="str">
        <f ca="1">CHAR(RANDBETWEEN(L2,L3))</f>
        <v>X</v>
      </c>
      <c r="L3" s="7">
        <v>90</v>
      </c>
      <c r="M3" s="7">
        <v>122</v>
      </c>
      <c r="O3" s="4">
        <v>44228</v>
      </c>
      <c r="P3" t="str">
        <f>"Q-"&amp;CHOOSE(MONTH(O3),1,1,1,2,2,2,3,3,3,4,4,4)</f>
        <v>Q-1</v>
      </c>
      <c r="Q3" t="str">
        <f>"Q-"&amp;CHOOSE(MONTH(O3),4,4,4,1,1,1,2,2,2,3,3,3)</f>
        <v>Q-4</v>
      </c>
      <c r="Z3" t="s">
        <v>34</v>
      </c>
    </row>
    <row r="4" spans="1:26" x14ac:dyDescent="0.3">
      <c r="A4" t="s">
        <v>1</v>
      </c>
      <c r="D4" s="8">
        <v>-3</v>
      </c>
      <c r="E4">
        <f>IF(D4&lt;0,0,D4)</f>
        <v>0</v>
      </c>
      <c r="O4" s="4">
        <v>44256</v>
      </c>
      <c r="P4" t="str">
        <f>"Q-"&amp;CHOOSE(MONTH(O4),1,1,1,2,2,2,3,3,3,4,4,4)</f>
        <v>Q-1</v>
      </c>
      <c r="Q4" t="str">
        <f>"Q-"&amp;CHOOSE(MONTH(O4),4,4,4,1,1,1,2,2,2,3,3,3)</f>
        <v>Q-4</v>
      </c>
      <c r="Z4" t="s">
        <v>33</v>
      </c>
    </row>
    <row r="5" spans="1:26" x14ac:dyDescent="0.3">
      <c r="D5" s="8">
        <v>0</v>
      </c>
      <c r="E5">
        <f>IF(D5&lt;0,0,D5)</f>
        <v>0</v>
      </c>
      <c r="O5" s="4">
        <v>44287</v>
      </c>
      <c r="P5" t="str">
        <f>"Q-"&amp;CHOOSE(MONTH(O5),1,1,1,2,2,2,3,3,3,4,4,4)</f>
        <v>Q-2</v>
      </c>
      <c r="Q5" t="str">
        <f>"Q-"&amp;CHOOSE(MONTH(O5),4,4,4,1,1,1,2,2,2,3,3,3)</f>
        <v>Q-1</v>
      </c>
    </row>
    <row r="6" spans="1:26" x14ac:dyDescent="0.3">
      <c r="A6" t="s">
        <v>2</v>
      </c>
      <c r="D6" s="8">
        <v>4</v>
      </c>
      <c r="E6">
        <f>IF(D6&lt;0,0,D6)</f>
        <v>4</v>
      </c>
      <c r="H6" t="s">
        <v>29</v>
      </c>
      <c r="O6" s="4">
        <v>44317</v>
      </c>
      <c r="P6" t="str">
        <f>"Q-"&amp;CHOOSE(MONTH(O6),1,1,1,2,2,2,3,3,3,4,4,4)</f>
        <v>Q-2</v>
      </c>
      <c r="Q6" t="str">
        <f>"Q-"&amp;CHOOSE(MONTH(O6),4,4,4,1,1,1,2,2,2,3,3,3)</f>
        <v>Q-1</v>
      </c>
    </row>
    <row r="7" spans="1:26" ht="49.2" customHeight="1" x14ac:dyDescent="0.9">
      <c r="A7" s="2">
        <v>44197</v>
      </c>
      <c r="B7" s="2">
        <f>EDATE(A7,12)</f>
        <v>44562</v>
      </c>
      <c r="D7" s="8">
        <v>4</v>
      </c>
      <c r="E7">
        <f>IF(D7&lt;0,0,D7)</f>
        <v>4</v>
      </c>
      <c r="H7" s="23">
        <v>625</v>
      </c>
      <c r="O7" s="4">
        <v>44348</v>
      </c>
      <c r="P7" t="str">
        <f>"Q-"&amp;CHOOSE(MONTH(O7),1,1,1,2,2,2,3,3,3,4,4,4)</f>
        <v>Q-2</v>
      </c>
      <c r="Q7" t="str">
        <f>"Q-"&amp;CHOOSE(MONTH(O7),4,4,4,1,1,1,2,2,2,3,3,3)</f>
        <v>Q-1</v>
      </c>
    </row>
    <row r="8" spans="1:26" ht="35.4" customHeight="1" x14ac:dyDescent="0.7">
      <c r="D8" s="8">
        <v>6</v>
      </c>
      <c r="E8">
        <f>IF(D8&lt;0,0,D8)</f>
        <v>6</v>
      </c>
      <c r="H8" s="22">
        <f>SQRT(H7)</f>
        <v>25</v>
      </c>
      <c r="O8" s="4">
        <v>44378</v>
      </c>
      <c r="P8" t="str">
        <f>"Q-"&amp;CHOOSE(MONTH(O8),1,1,1,2,2,2,3,3,3,4,4,4)</f>
        <v>Q-3</v>
      </c>
      <c r="Q8" t="str">
        <f>"Q-"&amp;CHOOSE(MONTH(O8),4,4,4,1,1,1,2,2,2,3,3,3)</f>
        <v>Q-2</v>
      </c>
    </row>
    <row r="9" spans="1:26" x14ac:dyDescent="0.3">
      <c r="A9" t="s">
        <v>3</v>
      </c>
      <c r="D9" s="8">
        <v>-4</v>
      </c>
      <c r="E9">
        <f>IF(D9&lt;0,0,D9)</f>
        <v>0</v>
      </c>
      <c r="O9" s="4">
        <v>44409</v>
      </c>
      <c r="P9" t="str">
        <f>"Q-"&amp;CHOOSE(MONTH(O9),1,1,1,2,2,2,3,3,3,4,4,4)</f>
        <v>Q-3</v>
      </c>
      <c r="Q9" t="str">
        <f>"Q-"&amp;CHOOSE(MONTH(O9),4,4,4,1,1,1,2,2,2,3,3,3)</f>
        <v>Q-2</v>
      </c>
    </row>
    <row r="10" spans="1:26" ht="28.8" x14ac:dyDescent="0.3">
      <c r="A10" s="3">
        <v>44197</v>
      </c>
      <c r="D10" s="8">
        <v>0</v>
      </c>
      <c r="E10">
        <f>IF(D10&lt;0,0,D10)</f>
        <v>0</v>
      </c>
      <c r="O10" s="4">
        <v>44440</v>
      </c>
      <c r="P10" t="str">
        <f>"Q-"&amp;CHOOSE(MONTH(O10),1,1,1,2,2,2,3,3,3,4,4,4)</f>
        <v>Q-3</v>
      </c>
      <c r="Q10" t="str">
        <f>"Q-"&amp;CHOOSE(MONTH(O10),4,4,4,1,1,1,2,2,2,3,3,3)</f>
        <v>Q-2</v>
      </c>
    </row>
    <row r="11" spans="1:26" x14ac:dyDescent="0.3">
      <c r="D11" s="8">
        <v>-4</v>
      </c>
      <c r="E11">
        <f>IF(D11&lt;0,0,D11)</f>
        <v>0</v>
      </c>
      <c r="H11" t="s">
        <v>32</v>
      </c>
      <c r="O11" s="4">
        <v>44470</v>
      </c>
      <c r="P11" t="str">
        <f>"Q-"&amp;CHOOSE(MONTH(O11),1,1,1,2,2,2,3,3,3,4,4,4)</f>
        <v>Q-4</v>
      </c>
      <c r="Q11" t="str">
        <f>"Q-"&amp;CHOOSE(MONTH(O11),4,4,4,1,1,1,2,2,2,3,3,3)</f>
        <v>Q-3</v>
      </c>
    </row>
    <row r="12" spans="1:26" ht="28.8" x14ac:dyDescent="0.3">
      <c r="A12" s="3">
        <f>SUM(A10,7)</f>
        <v>44204</v>
      </c>
      <c r="D12" s="8">
        <v>-9</v>
      </c>
      <c r="E12">
        <f>IF(D12&lt;0,0,D12)</f>
        <v>0</v>
      </c>
      <c r="H12" s="25" t="s">
        <v>31</v>
      </c>
      <c r="I12" s="8" t="s">
        <v>30</v>
      </c>
      <c r="O12" s="4">
        <v>44501</v>
      </c>
      <c r="P12" t="str">
        <f>"Q-"&amp;CHOOSE(MONTH(O12),1,1,1,2,2,2,3,3,3,4,4,4)</f>
        <v>Q-4</v>
      </c>
      <c r="Q12" t="str">
        <f>"Q-"&amp;CHOOSE(MONTH(O12),4,4,4,1,1,1,2,2,2,3,3,3)</f>
        <v>Q-3</v>
      </c>
    </row>
    <row r="13" spans="1:26" x14ac:dyDescent="0.3">
      <c r="D13" s="8">
        <v>-9</v>
      </c>
      <c r="E13">
        <f>IF(D13&lt;0,0,D13)</f>
        <v>0</v>
      </c>
      <c r="H13" s="24">
        <v>1</v>
      </c>
      <c r="I13" s="8" t="str">
        <f>TEXT(H13,"0000000")</f>
        <v>0000001</v>
      </c>
      <c r="O13" s="4">
        <v>44531</v>
      </c>
      <c r="P13" t="str">
        <f>"Q-"&amp;CHOOSE(MONTH(O13),1,1,1,2,2,2,3,3,3,4,4,4)</f>
        <v>Q-4</v>
      </c>
      <c r="Q13" t="str">
        <f>"Q-"&amp;CHOOSE(MONTH(O13),4,4,4,1,1,1,2,2,2,3,3,3)</f>
        <v>Q-3</v>
      </c>
    </row>
    <row r="14" spans="1:26" x14ac:dyDescent="0.3">
      <c r="D14" s="8">
        <v>-7</v>
      </c>
      <c r="E14">
        <f>IF(D14&lt;0,0,D14)</f>
        <v>0</v>
      </c>
      <c r="H14" s="24">
        <v>12</v>
      </c>
      <c r="I14" s="8" t="str">
        <f>TEXT(H14,"0000000")</f>
        <v>0000012</v>
      </c>
    </row>
    <row r="15" spans="1:26" ht="28.8" x14ac:dyDescent="0.3">
      <c r="A15" s="3">
        <f>A10+7</f>
        <v>44204</v>
      </c>
      <c r="D15" s="8">
        <v>-7</v>
      </c>
      <c r="E15">
        <f>IF(D15&lt;0,0,D15)</f>
        <v>0</v>
      </c>
      <c r="H15" s="24">
        <v>123</v>
      </c>
      <c r="I15" s="8" t="str">
        <f>TEXT(H15,"0000000")</f>
        <v>0000123</v>
      </c>
    </row>
    <row r="16" spans="1:26" x14ac:dyDescent="0.3">
      <c r="D16" s="8">
        <v>7</v>
      </c>
      <c r="E16">
        <f>IF(D16&lt;0,0,D16)</f>
        <v>7</v>
      </c>
      <c r="H16" s="24">
        <v>1234</v>
      </c>
      <c r="I16" s="8" t="str">
        <f>TEXT(H16,"0000000")</f>
        <v>0001234</v>
      </c>
      <c r="O16" t="s">
        <v>36</v>
      </c>
    </row>
    <row r="17" spans="1:21" ht="28.8" x14ac:dyDescent="0.3">
      <c r="A17" t="s">
        <v>4</v>
      </c>
      <c r="H17" s="24">
        <v>12345</v>
      </c>
      <c r="I17" s="8" t="str">
        <f>TEXT(H17,"0000000")</f>
        <v>0012345</v>
      </c>
      <c r="O17" s="26">
        <v>123456789</v>
      </c>
      <c r="P17" s="26">
        <f>ROUND(O17,-3)</f>
        <v>123457000</v>
      </c>
      <c r="Q17" s="27">
        <f>ROUNDDOWN(O17,-3)</f>
        <v>123456000</v>
      </c>
      <c r="R17" s="26">
        <f>FLOOR(P17,1000)</f>
        <v>123457000</v>
      </c>
      <c r="S17" s="26">
        <f>CEILING(R17,1000)</f>
        <v>123457000</v>
      </c>
      <c r="T17" s="26">
        <f>ROUND(O17,-2)</f>
        <v>123456800</v>
      </c>
      <c r="U17" s="26">
        <f>ROUND(O17,-1)</f>
        <v>123456790</v>
      </c>
    </row>
    <row r="18" spans="1:21" ht="28.8" x14ac:dyDescent="0.3">
      <c r="A18" s="4">
        <v>44562</v>
      </c>
      <c r="D18" t="s">
        <v>17</v>
      </c>
      <c r="H18" s="24">
        <v>123458</v>
      </c>
      <c r="I18" s="8" t="str">
        <f>TEXT(H18,"0000000")</f>
        <v>0123458</v>
      </c>
      <c r="O18" s="26">
        <v>123456489</v>
      </c>
      <c r="P18" s="26">
        <f>ROUND(O18,-3)</f>
        <v>123456000</v>
      </c>
      <c r="Q18" s="27">
        <f>ROUNDUP(O18,-3)</f>
        <v>123457000</v>
      </c>
      <c r="R18" s="26">
        <f>FLOOR(P18,1000)</f>
        <v>123456000</v>
      </c>
      <c r="S18" s="26">
        <f>CEILING(R18,1000)</f>
        <v>123456000</v>
      </c>
      <c r="T18" s="26">
        <f>ROUND(O18,-2)</f>
        <v>123456500</v>
      </c>
      <c r="U18" s="26">
        <f>ROUND(O18,-1)</f>
        <v>123456490</v>
      </c>
    </row>
    <row r="19" spans="1:21" x14ac:dyDescent="0.3">
      <c r="D19" s="19" t="s">
        <v>16</v>
      </c>
      <c r="E19" s="18" t="s">
        <v>15</v>
      </c>
    </row>
    <row r="20" spans="1:21" x14ac:dyDescent="0.3">
      <c r="A20" t="str">
        <f>TEXT(A18,"MMM")</f>
        <v>Jan</v>
      </c>
      <c r="D20" s="17">
        <v>42736</v>
      </c>
      <c r="E20" s="16">
        <v>1893</v>
      </c>
      <c r="F20">
        <f>SUMIFS(E20:E49,D20:D49,"&gt;="&amp;G23,D20:D49,"&lt;="&amp;G24)</f>
        <v>15682</v>
      </c>
      <c r="O20" t="s">
        <v>37</v>
      </c>
    </row>
    <row r="21" spans="1:21" x14ac:dyDescent="0.3">
      <c r="A21" t="str">
        <f>TEXT(A18,"MMMM")</f>
        <v>January</v>
      </c>
      <c r="D21" s="17">
        <v>42737</v>
      </c>
      <c r="E21" s="16">
        <v>1211</v>
      </c>
      <c r="O21" s="7">
        <v>1403</v>
      </c>
      <c r="P21">
        <f>COUNTA(O21:O30)</f>
        <v>6</v>
      </c>
    </row>
    <row r="22" spans="1:21" x14ac:dyDescent="0.3">
      <c r="D22" s="17">
        <v>42738</v>
      </c>
      <c r="E22" s="16">
        <v>1661</v>
      </c>
      <c r="O22" s="7">
        <v>1050</v>
      </c>
      <c r="P22">
        <f>COUNTIF(O21:O30,"&lt;&gt;"&amp;"")</f>
        <v>6</v>
      </c>
    </row>
    <row r="23" spans="1:21" x14ac:dyDescent="0.3">
      <c r="A23" t="s">
        <v>5</v>
      </c>
      <c r="D23" s="17">
        <v>42739</v>
      </c>
      <c r="E23" s="16">
        <v>1793</v>
      </c>
      <c r="G23" s="9">
        <v>42750</v>
      </c>
      <c r="O23" s="8"/>
      <c r="P23">
        <f>COUNTIF(O21:O30,"&lt;&gt;")</f>
        <v>6</v>
      </c>
    </row>
    <row r="24" spans="1:21" x14ac:dyDescent="0.3">
      <c r="A24" s="5">
        <v>44541.479166666664</v>
      </c>
      <c r="D24" s="17">
        <v>42740</v>
      </c>
      <c r="E24" s="16">
        <v>1834</v>
      </c>
      <c r="G24" s="9">
        <v>42760</v>
      </c>
      <c r="O24" s="7">
        <v>1311</v>
      </c>
    </row>
    <row r="25" spans="1:21" x14ac:dyDescent="0.3">
      <c r="D25" s="17">
        <v>42741</v>
      </c>
      <c r="E25" s="16">
        <v>1884</v>
      </c>
      <c r="O25" s="7">
        <v>1454</v>
      </c>
    </row>
    <row r="26" spans="1:21" x14ac:dyDescent="0.3">
      <c r="A26" s="4">
        <f>INT(A24)</f>
        <v>44541</v>
      </c>
      <c r="D26" s="17">
        <v>42742</v>
      </c>
      <c r="E26" s="16">
        <v>1436</v>
      </c>
      <c r="O26" s="7"/>
    </row>
    <row r="27" spans="1:21" x14ac:dyDescent="0.3">
      <c r="D27" s="17">
        <v>42743</v>
      </c>
      <c r="E27" s="16">
        <v>1344</v>
      </c>
      <c r="O27" s="7">
        <v>1013</v>
      </c>
    </row>
    <row r="28" spans="1:21" x14ac:dyDescent="0.3">
      <c r="A28" t="s">
        <v>6</v>
      </c>
      <c r="D28" s="17">
        <v>42744</v>
      </c>
      <c r="E28" s="16">
        <v>1993</v>
      </c>
      <c r="O28" s="7"/>
    </row>
    <row r="29" spans="1:21" x14ac:dyDescent="0.3">
      <c r="A29" s="5">
        <v>44541.520833333336</v>
      </c>
      <c r="B29" s="6">
        <f>A29-INT(A29)</f>
        <v>0.52083333333575865</v>
      </c>
      <c r="D29" s="17">
        <v>42745</v>
      </c>
      <c r="E29" s="16">
        <v>1695</v>
      </c>
      <c r="O29" s="7"/>
    </row>
    <row r="30" spans="1:21" x14ac:dyDescent="0.3">
      <c r="D30" s="17">
        <v>42746</v>
      </c>
      <c r="E30" s="16">
        <v>1053</v>
      </c>
      <c r="O30" s="7">
        <v>1501</v>
      </c>
    </row>
    <row r="31" spans="1:21" x14ac:dyDescent="0.3">
      <c r="A31" t="s">
        <v>7</v>
      </c>
      <c r="D31" s="17">
        <v>42747</v>
      </c>
      <c r="E31" s="16">
        <v>1887</v>
      </c>
      <c r="O31" s="7"/>
    </row>
    <row r="32" spans="1:21" x14ac:dyDescent="0.3">
      <c r="A32" s="7">
        <v>125</v>
      </c>
      <c r="B32">
        <f>POWER(A32,1/3)</f>
        <v>5.0000000000000009</v>
      </c>
      <c r="D32" s="17">
        <v>42748</v>
      </c>
      <c r="E32" s="16">
        <v>1952</v>
      </c>
      <c r="O32" t="s">
        <v>38</v>
      </c>
    </row>
    <row r="33" spans="1:16" x14ac:dyDescent="0.3">
      <c r="D33" s="17">
        <v>42749</v>
      </c>
      <c r="E33" s="16">
        <v>1682</v>
      </c>
      <c r="O33" s="8" t="s">
        <v>8</v>
      </c>
    </row>
    <row r="34" spans="1:16" x14ac:dyDescent="0.3">
      <c r="B34">
        <f>A32^(1/3)</f>
        <v>5.0000000000000009</v>
      </c>
      <c r="D34" s="17">
        <v>42750</v>
      </c>
      <c r="E34" s="16">
        <v>1599</v>
      </c>
      <c r="O34" s="8">
        <v>12</v>
      </c>
    </row>
    <row r="35" spans="1:16" x14ac:dyDescent="0.3">
      <c r="D35" s="17">
        <v>42751</v>
      </c>
      <c r="E35" s="16">
        <v>1146</v>
      </c>
      <c r="O35" s="8">
        <v>15</v>
      </c>
      <c r="P35" s="8">
        <f>COUNTA(_xlfn.UNIQUE(O34:O47,FALSE,FALSE))</f>
        <v>5</v>
      </c>
    </row>
    <row r="36" spans="1:16" x14ac:dyDescent="0.3">
      <c r="A36" t="s">
        <v>9</v>
      </c>
      <c r="D36" s="17">
        <v>42752</v>
      </c>
      <c r="E36" s="16">
        <v>1262</v>
      </c>
      <c r="O36" s="8">
        <v>14</v>
      </c>
    </row>
    <row r="37" spans="1:16" x14ac:dyDescent="0.3">
      <c r="A37" s="8" t="s">
        <v>8</v>
      </c>
      <c r="D37" s="17">
        <v>42753</v>
      </c>
      <c r="E37" s="16">
        <v>1028</v>
      </c>
      <c r="O37" s="8">
        <v>14</v>
      </c>
    </row>
    <row r="38" spans="1:16" x14ac:dyDescent="0.3">
      <c r="A38" s="8">
        <v>12</v>
      </c>
      <c r="D38" s="17">
        <v>42754</v>
      </c>
      <c r="E38" s="16">
        <v>1197</v>
      </c>
      <c r="O38" s="8">
        <v>14</v>
      </c>
    </row>
    <row r="39" spans="1:16" x14ac:dyDescent="0.3">
      <c r="A39" s="8">
        <v>15</v>
      </c>
      <c r="B39" s="8">
        <f>COUNTA(_xlfn.UNIQUE(A38:A51,FALSE,FALSE))</f>
        <v>6</v>
      </c>
      <c r="D39" s="17">
        <v>42755</v>
      </c>
      <c r="E39" s="16">
        <v>1860</v>
      </c>
      <c r="O39" s="8">
        <v>13</v>
      </c>
    </row>
    <row r="40" spans="1:16" x14ac:dyDescent="0.3">
      <c r="A40" s="8">
        <v>14</v>
      </c>
      <c r="D40" s="17">
        <v>42756</v>
      </c>
      <c r="E40" s="16">
        <v>1421</v>
      </c>
      <c r="O40" s="8">
        <v>15</v>
      </c>
    </row>
    <row r="41" spans="1:16" x14ac:dyDescent="0.3">
      <c r="A41" s="8">
        <v>13</v>
      </c>
      <c r="D41" s="17">
        <v>42757</v>
      </c>
      <c r="E41" s="16">
        <v>1886</v>
      </c>
      <c r="O41" s="8">
        <v>14</v>
      </c>
    </row>
    <row r="42" spans="1:16" x14ac:dyDescent="0.3">
      <c r="A42" s="8">
        <v>11</v>
      </c>
      <c r="D42" s="17">
        <v>42758</v>
      </c>
      <c r="E42" s="16">
        <v>1171</v>
      </c>
      <c r="O42" s="8">
        <v>13</v>
      </c>
    </row>
    <row r="43" spans="1:16" x14ac:dyDescent="0.3">
      <c r="A43" s="8">
        <v>13</v>
      </c>
      <c r="D43" s="17">
        <v>42759</v>
      </c>
      <c r="E43" s="16">
        <v>1810</v>
      </c>
      <c r="O43" s="8">
        <v>10</v>
      </c>
    </row>
    <row r="44" spans="1:16" x14ac:dyDescent="0.3">
      <c r="A44" s="8">
        <v>15</v>
      </c>
      <c r="D44" s="17">
        <v>42760</v>
      </c>
      <c r="E44" s="16">
        <v>1302</v>
      </c>
      <c r="O44" s="8">
        <v>10</v>
      </c>
    </row>
    <row r="45" spans="1:16" x14ac:dyDescent="0.3">
      <c r="A45" s="8">
        <v>14</v>
      </c>
      <c r="D45" s="17">
        <v>42761</v>
      </c>
      <c r="E45" s="16">
        <v>1503</v>
      </c>
      <c r="O45" s="8">
        <v>10</v>
      </c>
    </row>
    <row r="46" spans="1:16" x14ac:dyDescent="0.3">
      <c r="A46" s="8">
        <v>13</v>
      </c>
      <c r="D46" s="17">
        <v>42762</v>
      </c>
      <c r="E46" s="16">
        <v>1125</v>
      </c>
      <c r="O46" s="8">
        <v>13</v>
      </c>
    </row>
    <row r="47" spans="1:16" x14ac:dyDescent="0.3">
      <c r="A47" s="8">
        <v>10</v>
      </c>
      <c r="D47" s="17">
        <v>42763</v>
      </c>
      <c r="E47" s="16">
        <v>1627</v>
      </c>
      <c r="O47" s="8">
        <v>13</v>
      </c>
    </row>
    <row r="48" spans="1:16" x14ac:dyDescent="0.3">
      <c r="A48" s="8">
        <v>10</v>
      </c>
      <c r="D48" s="17">
        <v>42764</v>
      </c>
      <c r="E48" s="16">
        <v>1093</v>
      </c>
    </row>
    <row r="49" spans="1:18" x14ac:dyDescent="0.3">
      <c r="A49" s="8">
        <v>10</v>
      </c>
      <c r="D49" s="15">
        <v>42765</v>
      </c>
      <c r="E49" s="14">
        <v>1339</v>
      </c>
      <c r="O49" t="s">
        <v>39</v>
      </c>
    </row>
    <row r="50" spans="1:18" x14ac:dyDescent="0.3">
      <c r="A50" s="8">
        <v>13</v>
      </c>
      <c r="O50" s="13" t="s">
        <v>8</v>
      </c>
      <c r="P50" s="8">
        <f>SUMIF(O50:O62,"&lt;"&amp;P51)</f>
        <v>112</v>
      </c>
      <c r="Q50" s="8">
        <f>SUMIF(O50:O62,"&lt;=25")</f>
        <v>112</v>
      </c>
      <c r="R50" s="8">
        <f>SUMIF(O50:O62,"&lt;25")</f>
        <v>112</v>
      </c>
    </row>
    <row r="51" spans="1:18" x14ac:dyDescent="0.3">
      <c r="A51" s="8">
        <v>13</v>
      </c>
      <c r="O51" s="29">
        <v>10</v>
      </c>
      <c r="P51" s="31">
        <v>25</v>
      </c>
      <c r="Q51" s="8"/>
      <c r="R51" s="8"/>
    </row>
    <row r="52" spans="1:18" x14ac:dyDescent="0.3">
      <c r="D52" t="s">
        <v>26</v>
      </c>
      <c r="O52" s="30">
        <v>41</v>
      </c>
      <c r="P52" s="8"/>
      <c r="Q52" s="8"/>
      <c r="R52" s="8"/>
    </row>
    <row r="53" spans="1:18" ht="31.8" customHeight="1" x14ac:dyDescent="0.3">
      <c r="A53" t="s">
        <v>10</v>
      </c>
      <c r="D53" s="20" t="s">
        <v>25</v>
      </c>
      <c r="E53" t="str">
        <f>TRIM(D53)</f>
        <v xml:space="preserve">2979/8 Gurgaon Delhi Amritsar India 143001 							</v>
      </c>
      <c r="O53" s="29">
        <v>9</v>
      </c>
      <c r="P53" s="8"/>
      <c r="Q53" s="8"/>
      <c r="R53" s="8"/>
    </row>
    <row r="54" spans="1:18" x14ac:dyDescent="0.3">
      <c r="A54" s="4">
        <v>44562</v>
      </c>
      <c r="O54" s="30">
        <v>48</v>
      </c>
      <c r="P54" s="8"/>
      <c r="Q54" s="8"/>
      <c r="R54" s="8"/>
    </row>
    <row r="55" spans="1:18" x14ac:dyDescent="0.3">
      <c r="A55" t="str">
        <f>TEXT(A54,"ddd")</f>
        <v>Sat</v>
      </c>
      <c r="O55" s="29">
        <v>22</v>
      </c>
      <c r="P55" s="8"/>
      <c r="Q55" s="8"/>
      <c r="R55" s="8"/>
    </row>
    <row r="56" spans="1:18" x14ac:dyDescent="0.3">
      <c r="A56" t="str">
        <f>TEXT(A54,"dddd")</f>
        <v>Saturday</v>
      </c>
      <c r="D56" t="s">
        <v>24</v>
      </c>
      <c r="E56" t="str">
        <f>SUBSTITUTE(D56," ","")</f>
        <v>9980014876</v>
      </c>
      <c r="F56" s="7">
        <f>LEN(E56)</f>
        <v>10</v>
      </c>
      <c r="O56" s="30">
        <v>1</v>
      </c>
      <c r="P56" s="8"/>
      <c r="Q56" s="8"/>
      <c r="R56" s="8"/>
    </row>
    <row r="57" spans="1:18" x14ac:dyDescent="0.3">
      <c r="D57" t="s">
        <v>23</v>
      </c>
      <c r="E57" t="str">
        <f>SUBSTITUTE(D57," ","")</f>
        <v>9903414720</v>
      </c>
      <c r="F57" s="7">
        <f>LEN(E57)</f>
        <v>10</v>
      </c>
      <c r="O57" s="29">
        <v>17</v>
      </c>
      <c r="P57" s="8"/>
      <c r="Q57" s="8"/>
      <c r="R57" s="8"/>
    </row>
    <row r="58" spans="1:18" x14ac:dyDescent="0.3">
      <c r="A58" t="s">
        <v>11</v>
      </c>
      <c r="D58" t="s">
        <v>22</v>
      </c>
      <c r="E58" t="str">
        <f>SUBSTITUTE(D58," ","")</f>
        <v>9896433018</v>
      </c>
      <c r="F58" s="7">
        <f>LEN(E58)</f>
        <v>10</v>
      </c>
      <c r="O58" s="30">
        <v>23</v>
      </c>
      <c r="P58" s="8"/>
      <c r="Q58" s="8"/>
      <c r="R58" s="8"/>
    </row>
    <row r="59" spans="1:18" x14ac:dyDescent="0.3">
      <c r="A59" s="9">
        <v>44653</v>
      </c>
      <c r="B59" s="8">
        <f>A59-DATE(YEAR(A59),1,0)</f>
        <v>92</v>
      </c>
      <c r="D59" t="s">
        <v>21</v>
      </c>
      <c r="E59" t="str">
        <f>SUBSTITUTE(D59," ","")</f>
        <v>9907203717</v>
      </c>
      <c r="F59" s="7">
        <f>LEN(E59)</f>
        <v>10</v>
      </c>
      <c r="O59" s="29">
        <v>6</v>
      </c>
      <c r="P59" s="8"/>
      <c r="Q59" s="8"/>
      <c r="R59" s="8"/>
    </row>
    <row r="60" spans="1:18" x14ac:dyDescent="0.3">
      <c r="D60" t="s">
        <v>20</v>
      </c>
      <c r="E60" t="str">
        <f>SUBSTITUTE(D60," ","")</f>
        <v>9836459420</v>
      </c>
      <c r="F60" s="7">
        <f>LEN(E60)</f>
        <v>10</v>
      </c>
      <c r="O60" s="30">
        <v>24</v>
      </c>
      <c r="P60" s="8"/>
      <c r="Q60" s="8"/>
      <c r="R60" s="8"/>
    </row>
    <row r="61" spans="1:18" x14ac:dyDescent="0.3">
      <c r="A61" t="s">
        <v>13</v>
      </c>
      <c r="D61" t="s">
        <v>19</v>
      </c>
      <c r="E61" t="str">
        <f>SUBSTITUTE(D61," ","")</f>
        <v>9972626280</v>
      </c>
      <c r="F61" s="7">
        <f>LEN(E61)</f>
        <v>10</v>
      </c>
      <c r="O61" s="29">
        <v>34</v>
      </c>
      <c r="P61" s="8"/>
      <c r="Q61" s="8"/>
      <c r="R61" s="8"/>
    </row>
    <row r="62" spans="1:18" x14ac:dyDescent="0.3">
      <c r="A62" s="13" t="s">
        <v>12</v>
      </c>
      <c r="D62" t="s">
        <v>18</v>
      </c>
      <c r="E62" t="str">
        <f>SUBSTITUTE(D62," ","")</f>
        <v>9860075586</v>
      </c>
      <c r="F62" s="7">
        <f>LEN(E62)</f>
        <v>10</v>
      </c>
      <c r="O62" s="28">
        <v>50</v>
      </c>
      <c r="P62" s="8"/>
      <c r="Q62" s="8"/>
      <c r="R62" s="8"/>
    </row>
    <row r="63" spans="1:18" x14ac:dyDescent="0.3">
      <c r="A63" s="11">
        <v>44197</v>
      </c>
      <c r="B63">
        <f>DAY(EOMONTH(A63,0))</f>
        <v>31</v>
      </c>
      <c r="O63" s="7"/>
      <c r="P63" s="8"/>
      <c r="Q63" s="8"/>
      <c r="R63" s="8"/>
    </row>
    <row r="64" spans="1:18" x14ac:dyDescent="0.3">
      <c r="A64" s="12">
        <v>44228</v>
      </c>
      <c r="B64">
        <f>DAY(EOMONTH(A64,0))</f>
        <v>28</v>
      </c>
      <c r="D64" t="s">
        <v>27</v>
      </c>
    </row>
    <row r="65" spans="1:17" x14ac:dyDescent="0.3">
      <c r="A65" s="11">
        <v>44256</v>
      </c>
      <c r="B65">
        <f>DAY(EOMONTH(A65,0))</f>
        <v>31</v>
      </c>
      <c r="D65" s="21">
        <v>2.4305555555555556E-2</v>
      </c>
      <c r="E65" s="7" t="str">
        <f>TEXT(D65,"HHMM")</f>
        <v>0035</v>
      </c>
      <c r="O65" t="s">
        <v>44</v>
      </c>
    </row>
    <row r="66" spans="1:17" x14ac:dyDescent="0.3">
      <c r="A66" s="12">
        <v>44287</v>
      </c>
      <c r="B66">
        <f>DAY(EOMONTH(A66,0))</f>
        <v>30</v>
      </c>
      <c r="D66" s="21">
        <v>0.52430555555555558</v>
      </c>
      <c r="E66" s="7" t="str">
        <f>TEXT(D66,"HHMM")</f>
        <v>1235</v>
      </c>
      <c r="O66" s="7">
        <v>1</v>
      </c>
      <c r="Q66" s="8">
        <f>COUNTIF(O66:O73,"*")</f>
        <v>4</v>
      </c>
    </row>
    <row r="67" spans="1:17" x14ac:dyDescent="0.3">
      <c r="A67" s="11">
        <v>44317</v>
      </c>
      <c r="B67">
        <f>DAY(EOMONTH(A67,0))</f>
        <v>31</v>
      </c>
      <c r="O67" s="7" t="s">
        <v>43</v>
      </c>
      <c r="Q67" s="8">
        <f>COUNTIFS(O66:O73,"*",O66:O73,"&lt;&gt;"&amp;" ")</f>
        <v>3</v>
      </c>
    </row>
    <row r="68" spans="1:17" x14ac:dyDescent="0.3">
      <c r="A68" s="10">
        <v>44348</v>
      </c>
      <c r="B68">
        <f>DAY(EOMONTH(A68,0))</f>
        <v>30</v>
      </c>
      <c r="O68" s="7">
        <v>3</v>
      </c>
    </row>
    <row r="69" spans="1:17" x14ac:dyDescent="0.3">
      <c r="O69" s="7" t="s">
        <v>42</v>
      </c>
    </row>
    <row r="70" spans="1:17" x14ac:dyDescent="0.3">
      <c r="O70" s="7" t="s">
        <v>41</v>
      </c>
    </row>
    <row r="71" spans="1:17" x14ac:dyDescent="0.3">
      <c r="O71" s="7" t="s">
        <v>40</v>
      </c>
    </row>
    <row r="72" spans="1:17" x14ac:dyDescent="0.3">
      <c r="O72" s="7" t="b">
        <v>1</v>
      </c>
    </row>
    <row r="73" spans="1:17" x14ac:dyDescent="0.3">
      <c r="O73" s="7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Gogia</dc:creator>
  <cp:lastModifiedBy>gnaneshwari.m2009@outlook.com</cp:lastModifiedBy>
  <dcterms:created xsi:type="dcterms:W3CDTF">2022-05-14T11:18:27Z</dcterms:created>
  <dcterms:modified xsi:type="dcterms:W3CDTF">2024-03-24T12:29:56Z</dcterms:modified>
</cp:coreProperties>
</file>